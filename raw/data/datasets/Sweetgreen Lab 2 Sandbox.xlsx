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CheckQueue" sheetId="2" r:id="rId6"/>
    <sheet state="visible" name="AutoActions" sheetId="3" r:id="rId7"/>
    <sheet state="visible" name="LocalTests" sheetId="4" r:id="rId8"/>
    <sheet state="visible" name="ROI" sheetId="5" r:id="rId9"/>
  </sheets>
  <definedNames/>
  <calcPr/>
</workbook>
</file>

<file path=xl/sharedStrings.xml><?xml version="1.0" encoding="utf-8"?>
<sst xmlns="http://schemas.openxmlformats.org/spreadsheetml/2006/main" count="770" uniqueCount="315">
  <si>
    <t>Topic</t>
  </si>
  <si>
    <t>case_id</t>
  </si>
  <si>
    <t>run_label</t>
  </si>
  <si>
    <t>Explanation</t>
  </si>
  <si>
    <t>Status</t>
  </si>
  <si>
    <t>Five modules: Search Rows &gt; Router &gt; Approve order / Staff recovery review / Data repair review. THREE_OUTCOMES_01 routed all seven selected cases correctly. Inactive; input now includes HAPPY and BREAK, limit 7.</t>
  </si>
  <si>
    <t>Source</t>
  </si>
  <si>
    <t>Sweetgreen_Lab1_Gemini_Sandbox.xlsx. The seven Gemini source tables remain unchanged. CheckQueue is a local, frozen order-level join derived from them.</t>
  </si>
  <si>
    <t>test_group</t>
  </si>
  <si>
    <t>First run</t>
  </si>
  <si>
    <t>Latest combined run THREE_OUTCOMES_01: H1/H2 APPROVE, 22:39:07 UTC on 6 October 2026 (rows 25-26). All historical happy tests remain preserved, including three extra replays at 22:33 UTC.</t>
  </si>
  <si>
    <t>order_id</t>
  </si>
  <si>
    <t>Break run</t>
  </si>
  <si>
    <t>item_ids</t>
  </si>
  <si>
    <t>request_status</t>
  </si>
  <si>
    <t>Latest combined run: B1/B2 STAFF_REVIEW (rows 27-28); B3/B4/B5 DATA_REVIEW (rows 29-31), 22:39:07-08 UTC. No case skipped or double-routed. Prior naive and guarded results remain as history.</t>
  </si>
  <si>
    <t>line_count</t>
  </si>
  <si>
    <t>Full replay</t>
  </si>
  <si>
    <t>matched_line_count</t>
  </si>
  <si>
    <t>BASELINE contains 30 original orders. Historical replay uses each first kitchen-check time. request_status=NEW and prior_exception=0 describe the point before its first D2 decision.</t>
  </si>
  <si>
    <t>cached_available</t>
  </si>
  <si>
    <t>History warning</t>
  </si>
  <si>
    <t>Orders.status is COMPLETED for every Lab 1 record. Do not filter that final snapshot for Rejected. BLOCKED exists in KitchenRuns; SUCCESS represents completed preparation.</t>
  </si>
  <si>
    <t>current_available</t>
  </si>
  <si>
    <t>Join</t>
  </si>
  <si>
    <t>evaluated_at</t>
  </si>
  <si>
    <t>Use original OrderLines.item_id, not the agreed replacement final_item_id. Aggregate ALL original lines per order. Missing/duplicate joins must go to review. O025 is a two-line happy-path test.</t>
  </si>
  <si>
    <t>source_at</t>
  </si>
  <si>
    <t>Typed fields</t>
  </si>
  <si>
    <t>source_age_min</t>
  </si>
  <si>
    <t>Availability/prior_exception flags are numeric 0/1; blank means unknown. Current Make Search Rows uses formatted values and timestamps, with a numeric availability filter. Historical UTC source/evaluation times remain fixed for replay.</t>
  </si>
  <si>
    <t>source_type</t>
  </si>
  <si>
    <t>Guarded rule</t>
  </si>
  <si>
    <t>Approval: current_available=1; NEW; prior_exception=0; positive equal line counts; KITCHEN source; age exists and 0-60 min. Staff review: current=0 OR BLOCKED OR prior_exception=1. Remaining cases: DATA_REVIEW fallback. Operational holds take priority over coincident data issues.</t>
  </si>
  <si>
    <t>prior_exception</t>
  </si>
  <si>
    <t>Freshness</t>
  </si>
  <si>
    <t>event_key</t>
  </si>
  <si>
    <t>60 minutes is an illustrative classroom threshold. The replay evaluates 18 September source data against its historical event time. Live operation must calculate source age against the actual current time and fetch current data.</t>
  </si>
  <si>
    <t>naive_result</t>
  </si>
  <si>
    <t>basis</t>
  </si>
  <si>
    <t>Limit</t>
  </si>
  <si>
    <t>guarded_result</t>
  </si>
  <si>
    <t>Frozen CheckQueue demonstrates routing, not a live kitchen feed. Before deployment, replace it with current joins/source fetches and an approved freshness threshold. No ingredient/customization reservation model is included.</t>
  </si>
  <si>
    <t>Action</t>
  </si>
  <si>
    <t>evidence</t>
  </si>
  <si>
    <t>All 3 routes append audit rows to AutoActions. Decision is APPROVE, STAFF_REVIEW or DATA_REVIEW. Reason records diagnostic values, proposed owner role and next action. No staff notification or real order/payment action.</t>
  </si>
  <si>
    <t>Duplicates</t>
  </si>
  <si>
    <t>H1</t>
  </si>
  <si>
    <t>Current label THREE_OUTCOMES_01; rule three-outcomes-v3. Change label before rerunning. Prior repeated HAPPY_GUARDED_01 rows are extra test executions, not new orders. Duplicate prevention remains future work.</t>
  </si>
  <si>
    <t>HAPPY</t>
  </si>
  <si>
    <t>Guardrails</t>
  </si>
  <si>
    <t>O007</t>
  </si>
  <si>
    <t>decision</t>
  </si>
  <si>
    <t>STAFF_REVIEW instructs shift lead to hold at CP2 and assess D3 recovery, with CP3 consent before changes. DATA_REVIEW instructs integration owner to repair/refresh/reconcile and recheck D2. Owner instructions are not assignment notifications or completed resolution.</t>
  </si>
  <si>
    <t>M011</t>
  </si>
  <si>
    <t>ROI</t>
  </si>
  <si>
    <t>reason</t>
  </si>
  <si>
    <t>NEW</t>
  </si>
  <si>
    <t>ROI tab is an illustrative planning case. All workload/time inputs require measurement. The 20% seeded exception share is not an estimate of actual Sweetgreen incidence.</t>
  </si>
  <si>
    <t>Sources</t>
  </si>
  <si>
    <t>W06_Lab2_Automate_StudyNote_v1.pdf §§3-4 and pp. 8-10. https://apps.make.com/google-sheets-modules ; https://www.make.com/en/pricing</t>
  </si>
  <si>
    <t>rule_version</t>
  </si>
  <si>
    <t>Course deliverables</t>
  </si>
  <si>
    <t>recorded_at</t>
  </si>
  <si>
    <t>Current five-module package includes screenshot, slides, one-page postmortem and CP/DP guide. AutoActions has 30 output rows across tests; latest run is rows 25-31. Seven cases: 2 approvals, 2 staff reviews, 3 data reviews. Nothing submitted.</t>
  </si>
  <si>
    <t>APPROVE</t>
  </si>
  <si>
    <t>HAPPY_01</t>
  </si>
  <si>
    <t>Executed local rule replay; not a Make run</t>
  </si>
  <si>
    <t>H2</t>
  </si>
  <si>
    <t>O025</t>
  </si>
  <si>
    <t>KITCHEN</t>
  </si>
  <si>
    <t>H1:v1</t>
  </si>
  <si>
    <t>Original request replay before first D2 outcome</t>
  </si>
  <si>
    <t>B1</t>
  </si>
  <si>
    <t>O001</t>
  </si>
  <si>
    <t>M015;M021</t>
  </si>
  <si>
    <t>Cached availability is 1</t>
  </si>
  <si>
    <t>REVIEW_UNAVAILABLE</t>
  </si>
  <si>
    <t>2026-09-18T11:00:00Z</t>
  </si>
  <si>
    <t>2026-09-18T11:08:00Z</t>
  </si>
  <si>
    <t>naive-v1</t>
  </si>
  <si>
    <t>2026-10-06T21:34:38.004Z</t>
  </si>
  <si>
    <t>B2</t>
  </si>
  <si>
    <t>O002</t>
  </si>
  <si>
    <t>H2:v1</t>
  </si>
  <si>
    <t>REVIEW_REENTRY</t>
  </si>
  <si>
    <t>2026-09-18T11:26:00Z</t>
  </si>
  <si>
    <t>2026-10-06T21:34:38.241Z</t>
  </si>
  <si>
    <t>BREAK_01</t>
  </si>
  <si>
    <t>B3</t>
  </si>
  <si>
    <t>M001</t>
  </si>
  <si>
    <t>O008</t>
  </si>
  <si>
    <t>B1:v1</t>
  </si>
  <si>
    <t>BREAK</t>
  </si>
  <si>
    <t>NO_OUTPUT</t>
  </si>
  <si>
    <t>2026-09-18T11:02:00Z</t>
  </si>
  <si>
    <t>REVIEW_MISSING</t>
  </si>
  <si>
    <t>2026-10-06T21:35:33.238Z</t>
  </si>
  <si>
    <t>M002</t>
  </si>
  <si>
    <t>B4</t>
  </si>
  <si>
    <t>B2:v1</t>
  </si>
  <si>
    <t>2026-09-18T11:03:00Z</t>
  </si>
  <si>
    <t>2026-10-06T21:35:33.442Z</t>
  </si>
  <si>
    <t>O009</t>
  </si>
  <si>
    <t>M013</t>
  </si>
  <si>
    <t>B4:v1</t>
  </si>
  <si>
    <t>Lab 1 M001 cached/current disagreement</t>
  </si>
  <si>
    <t>2026-09-18T00:00:00Z</t>
  </si>
  <si>
    <t>2026-09-18T11:10:00Z</t>
  </si>
  <si>
    <t>2026-10-06T21:35:33.625Z</t>
  </si>
  <si>
    <t>B5</t>
  </si>
  <si>
    <t>O010</t>
  </si>
  <si>
    <t>M014</t>
  </si>
  <si>
    <t>B5:v1</t>
  </si>
  <si>
    <t>BLOCKED</t>
  </si>
  <si>
    <t>2026-09-18T11:11:00Z</t>
  </si>
  <si>
    <t>2026-10-06T21:35:33.821Z</t>
  </si>
  <si>
    <t>BREAK_02_ROUTER</t>
  </si>
  <si>
    <t>REVIEW_STALE</t>
  </si>
  <si>
    <t>2026-10-06T22:21:21.968Z</t>
  </si>
  <si>
    <t>Re-entry after Lab 1 R003 BLOCKED; no automatic substitution</t>
  </si>
  <si>
    <t>REVIEW_INVALID</t>
  </si>
  <si>
    <t>M012</t>
  </si>
  <si>
    <t>2026-10-06T22:21:22.313Z</t>
  </si>
  <si>
    <t>2026-10-06T22:21:22.619Z</t>
  </si>
  <si>
    <t>2026-10-06T22:21:23.370Z</t>
  </si>
  <si>
    <t>BREAK_GUARDED_01</t>
  </si>
  <si>
    <t>REVIEW</t>
  </si>
  <si>
    <t>Failed approval checks: status=NEW; current=0; age_min=2; matched=1/1; prior_exception=0; source=KITCHEN. Hold for CP2 review; customer consent at CP3 before changes.</t>
  </si>
  <si>
    <t>guarded-v2</t>
  </si>
  <si>
    <t>2026-10-06T22:31:14.704Z</t>
  </si>
  <si>
    <t>Failed approval checks: status=BLOCKED; current=0; age_min=3; matched=1/1; prior_exception=1; source=KITCHEN. Hold for CP2 review; customer consent at CP3 before changes.</t>
  </si>
  <si>
    <t>2026-10-06T22:31:14.944Z</t>
  </si>
  <si>
    <t>B3:v1</t>
  </si>
  <si>
    <t>Lab 2 injected missing availability; original Lab 1 row preserved</t>
  </si>
  <si>
    <t>Failed approval checks: status=NEW; current=; age_min=9; matched=1/1; prior_exception=0; source=KITCHEN. Hold for CP2 review; customer consent at CP3 before changes.</t>
  </si>
  <si>
    <t>2026-09-18T11:09:00Z</t>
  </si>
  <si>
    <t>2026-10-06T22:31:15.197Z</t>
  </si>
  <si>
    <t>Failed approval checks: status=NEW; current=1; age_min=670; matched=1/1; prior_exception=0; source=KITCHEN. Hold for CP2 review; customer consent at CP3 before changes.</t>
  </si>
  <si>
    <t>2026-10-06T22:31:15.987Z</t>
  </si>
  <si>
    <t>Failed approval checks: status=NEW; current=1; age_min=11; matched=0/1; prior_exception=0; source=KITCHEN. Hold for CP2 review; customer consent at CP3 before changes.</t>
  </si>
  <si>
    <t>2026-10-06T22:31:16.219Z</t>
  </si>
  <si>
    <t>HAPPY_GUARDED_01</t>
  </si>
  <si>
    <t>Lab 2 injected stale current feed; cached availability still says 1</t>
  </si>
  <si>
    <t>Current kitchen availability=1; NEW; no prior exception; complete positive line match; source age 0-60 min.</t>
  </si>
  <si>
    <t>2026-10-06T22:31:37.623Z</t>
  </si>
  <si>
    <t>2026-10-06T22:31:37.853Z</t>
  </si>
  <si>
    <t>Lab 2 injected lookup failure; not a Lab 1 seeded row</t>
  </si>
  <si>
    <t>2026-10-06T22:33:10.577Z</t>
  </si>
  <si>
    <t>BASE-O001</t>
  </si>
  <si>
    <t>BASELINE</t>
  </si>
  <si>
    <t>2026-10-06T22:33:10.850Z</t>
  </si>
  <si>
    <t>2026-10-06T22:33:17.673Z</t>
  </si>
  <si>
    <t>O001:original:v1</t>
  </si>
  <si>
    <t>BASE-O002</t>
  </si>
  <si>
    <t>2026-10-06T22:33:18.158Z</t>
  </si>
  <si>
    <t>2026-10-06T22:33:20.175Z</t>
  </si>
  <si>
    <t>2026-10-06T22:33:20.406Z</t>
  </si>
  <si>
    <t>THREE_OUTCOMES_01</t>
  </si>
  <si>
    <t>O002:original:v1</t>
  </si>
  <si>
    <t>BASE-O003</t>
  </si>
  <si>
    <t>D2 availability checks passed. Next: kitchen preparation after remaining customization checks. Current kitchen availability=1; NEW; no prior exception; complete positive item match; source age 0-60 min. Audit recommendation only.</t>
  </si>
  <si>
    <t>three-outcomes-v3</t>
  </si>
  <si>
    <t>O003</t>
  </si>
  <si>
    <t>2026-10-06T22:39:07.162Z</t>
  </si>
  <si>
    <t>M003</t>
  </si>
  <si>
    <t>2026-10-06T22:39:07.431Z</t>
  </si>
  <si>
    <t>STAFF_REVIEW</t>
  </si>
  <si>
    <t>O003:original:v1</t>
  </si>
  <si>
    <t>Owner: shift lead. Hold order at CP2; verify stock and assess recovery at D3. Record customer consent at CP3 before changes. status=NEW; current=0; prior_exception=0; age_min=2; matched=1/1.</t>
  </si>
  <si>
    <t>2026-10-06T22:39:07.667Z</t>
  </si>
  <si>
    <t>BASE-O004</t>
  </si>
  <si>
    <t>O004</t>
  </si>
  <si>
    <t>M004</t>
  </si>
  <si>
    <t>Owner: shift lead. Hold order at CP2; verify stock and assess recovery at D3. Record customer consent at CP3 before changes. status=BLOCKED; current=0; prior_exception=1; age_min=3; matched=1/1.</t>
  </si>
  <si>
    <t>2026-10-06T22:39:08.339Z</t>
  </si>
  <si>
    <t>DATA_REVIEW</t>
  </si>
  <si>
    <t>Owner: integration owner. Hold decision; repair missing fields, refresh source or reconcile item match, then recheck D2. current=; age_min=9; matched=1/1; source=KITCHEN; status=NEW.</t>
  </si>
  <si>
    <t>2026-10-06T22:39:08.530Z</t>
  </si>
  <si>
    <t>O004:original:v1</t>
  </si>
  <si>
    <t>BASE-O005</t>
  </si>
  <si>
    <t>Owner: integration owner. Hold decision; repair missing fields, refresh source or reconcile item match, then recheck D2. current=1; age_min=670; matched=1/1; source=KITCHEN; status=NEW.</t>
  </si>
  <si>
    <t>O005</t>
  </si>
  <si>
    <t>2026-10-06T22:39:08.725Z</t>
  </si>
  <si>
    <t>M005</t>
  </si>
  <si>
    <t>Owner: integration owner. Hold decision; repair missing fields, refresh source or reconcile item match, then recheck D2. current=1; age_min=11; matched=0/1; source=KITCHEN; status=NEW.</t>
  </si>
  <si>
    <t>2026-10-06T22:39:08.934Z</t>
  </si>
  <si>
    <t>O005:original:v1</t>
  </si>
  <si>
    <t>BASE-O006</t>
  </si>
  <si>
    <t>O006</t>
  </si>
  <si>
    <t>M006</t>
  </si>
  <si>
    <t>O006:original:v1</t>
  </si>
  <si>
    <t>BASE-O007</t>
  </si>
  <si>
    <t>O007:original:v1</t>
  </si>
  <si>
    <t>BASE-O008</t>
  </si>
  <si>
    <t>O008:original:v1</t>
  </si>
  <si>
    <t>BASE-O009</t>
  </si>
  <si>
    <t>O009:original:v1</t>
  </si>
  <si>
    <t>BASE-O010</t>
  </si>
  <si>
    <t>O010:original:v1</t>
  </si>
  <si>
    <t>BASE-O011</t>
  </si>
  <si>
    <t>O011</t>
  </si>
  <si>
    <t>M015</t>
  </si>
  <si>
    <t>O011:original:v1</t>
  </si>
  <si>
    <t>BASE-O012</t>
  </si>
  <si>
    <t>O012</t>
  </si>
  <si>
    <t>M016</t>
  </si>
  <si>
    <t>O012:original:v1</t>
  </si>
  <si>
    <t>BASE-O013</t>
  </si>
  <si>
    <t>O013</t>
  </si>
  <si>
    <t>M017</t>
  </si>
  <si>
    <t>O013:original:v1</t>
  </si>
  <si>
    <t>BASE-O014</t>
  </si>
  <si>
    <t>O014</t>
  </si>
  <si>
    <t>M018</t>
  </si>
  <si>
    <t>Illustrative ROI input / result</t>
  </si>
  <si>
    <t>O014:original:v1</t>
  </si>
  <si>
    <t>Value</t>
  </si>
  <si>
    <t>Basis</t>
  </si>
  <si>
    <t>BASE-O015</t>
  </si>
  <si>
    <t>O015</t>
  </si>
  <si>
    <t>Orders per month</t>
  </si>
  <si>
    <t>M019</t>
  </si>
  <si>
    <t>O015:original:v1</t>
  </si>
  <si>
    <t>BASE-O016</t>
  </si>
  <si>
    <t>Assumption: 30 orders/day x 22 days, not measured volume</t>
  </si>
  <si>
    <t>O016</t>
  </si>
  <si>
    <t>Exception share</t>
  </si>
  <si>
    <t>M020</t>
  </si>
  <si>
    <t>Illustration uses seeded 6/30 share; real rate unknown</t>
  </si>
  <si>
    <t>Manual check seconds</t>
  </si>
  <si>
    <t>Assumed D2 check time, measure before pilot</t>
  </si>
  <si>
    <t>O016:original:v1</t>
  </si>
  <si>
    <t>Routine automated oversight seconds</t>
  </si>
  <si>
    <t>Assumed human residual per ordinary case</t>
  </si>
  <si>
    <t>BASE-O017</t>
  </si>
  <si>
    <t>Extra review seconds per exception</t>
  </si>
  <si>
    <t>O017</t>
  </si>
  <si>
    <t>Additional oversight, retained after automation</t>
  </si>
  <si>
    <t>M021</t>
  </si>
  <si>
    <t>Recovery minutes per exception</t>
  </si>
  <si>
    <t>Synthetic Lab 1 recovery workload retained in BOTH cases</t>
  </si>
  <si>
    <t>Labor rate USD/hour</t>
  </si>
  <si>
    <t>Illustrative Lab 1 assumption</t>
  </si>
  <si>
    <t>Build hours</t>
  </si>
  <si>
    <t>Assumption, replace with actual logged effort</t>
  </si>
  <si>
    <t>Maintenance hours/month</t>
  </si>
  <si>
    <t>Assumed continuing ownership effort</t>
  </si>
  <si>
    <t>O017:original:v1</t>
  </si>
  <si>
    <t>License USD/month</t>
  </si>
  <si>
    <t>BASE-O018</t>
  </si>
  <si>
    <t>Classroom free-tier case only; live usage could need paid capacity</t>
  </si>
  <si>
    <t>Baseline labor USD/month</t>
  </si>
  <si>
    <t>O018</t>
  </si>
  <si>
    <t>M022</t>
  </si>
  <si>
    <t>O018:original:v1</t>
  </si>
  <si>
    <t>BASE-O019</t>
  </si>
  <si>
    <t>O019</t>
  </si>
  <si>
    <t>M023</t>
  </si>
  <si>
    <t>O019:original:v1</t>
  </si>
  <si>
    <t>BASE-O020</t>
  </si>
  <si>
    <t>O020</t>
  </si>
  <si>
    <t>M024</t>
  </si>
  <si>
    <t>O020:original:v1</t>
  </si>
  <si>
    <t>BASE-O021</t>
  </si>
  <si>
    <t>O021</t>
  </si>
  <si>
    <t>O021:original:v1</t>
  </si>
  <si>
    <t>BASE-O022</t>
  </si>
  <si>
    <t>Checks for all orders plus recovery workload</t>
  </si>
  <si>
    <t>O022</t>
  </si>
  <si>
    <t>After automation labor USD/month</t>
  </si>
  <si>
    <t>O022:original:v1</t>
  </si>
  <si>
    <t>BASE-O023</t>
  </si>
  <si>
    <t>O023</t>
  </si>
  <si>
    <t>O023:original:v1</t>
  </si>
  <si>
    <t>BASE-O024</t>
  </si>
  <si>
    <t>O024</t>
  </si>
  <si>
    <t>Routine residual + exception checks + recovery + extra review</t>
  </si>
  <si>
    <t>O024:original:v1</t>
  </si>
  <si>
    <t>Maintenance/license USD/month</t>
  </si>
  <si>
    <t>BASE-O025</t>
  </si>
  <si>
    <t>Ongoing cost retained</t>
  </si>
  <si>
    <t>O025:original:v1</t>
  </si>
  <si>
    <t>Net monthly capacity value USD</t>
  </si>
  <si>
    <t>BASE-O026</t>
  </si>
  <si>
    <t>O026</t>
  </si>
  <si>
    <t>M016;M022</t>
  </si>
  <si>
    <t>Baseline minus after cost and upkeep; not guaranteed payroll savings</t>
  </si>
  <si>
    <t>O026:original:v1</t>
  </si>
  <si>
    <t>One-time build value USD</t>
  </si>
  <si>
    <t>BASE-O027</t>
  </si>
  <si>
    <t>O027</t>
  </si>
  <si>
    <t>M017;M023</t>
  </si>
  <si>
    <t>Build hours x hourly rate</t>
  </si>
  <si>
    <t>Payback months</t>
  </si>
  <si>
    <t>O027:original:v1</t>
  </si>
  <si>
    <t>BASE-O028</t>
  </si>
  <si>
    <t>O028</t>
  </si>
  <si>
    <t>M018;M024</t>
  </si>
  <si>
    <t>O028:original:v1</t>
  </si>
  <si>
    <t>BASE-O029</t>
  </si>
  <si>
    <t>O029</t>
  </si>
  <si>
    <t>M019;M011</t>
  </si>
  <si>
    <t>Build / monthly net value; no positive payback if net &lt;= 0</t>
  </si>
  <si>
    <t>Refund treatment</t>
  </si>
  <si>
    <t>Unchanged</t>
  </si>
  <si>
    <t>No refund or food-waste savings credited; the Lab 1 $44 is not the ROI saving</t>
  </si>
  <si>
    <t>Validation needed</t>
  </si>
  <si>
    <t>Unmeasured inputs</t>
  </si>
  <si>
    <t>Use actual volume, check times, exception rate, build hours and ongoing credits before funding</t>
  </si>
  <si>
    <t>O029:original:v1</t>
  </si>
  <si>
    <t>BASE-O030</t>
  </si>
  <si>
    <t>O030</t>
  </si>
  <si>
    <t>M020;M012</t>
  </si>
  <si>
    <t>O030:original:v1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</si>
</sst>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quot;T&quot;hh:mm:ss&quot;Z&quot;"/>
    <numFmt numFmtId="165" formatCode="0.0%"/>
    <numFmt numFmtId="166" formatCode="$0.00"/>
  </numFmts>
  <fonts count="4">
    <font>
      <sz val="11.0"/>
      <color rgb="FF000000"/>
      <name val="Carlito"/>
      <scheme val="minor"/>
    </font>
    <font>
      <b/>
      <sz val="11.0"/>
      <color rgb="FF244F3D"/>
      <name val="Arial"/>
    </font>
    <font>
      <sz val="11.0"/>
      <color rgb="FF24382D"/>
      <name val="Arial"/>
    </font>
    <font>
      <sz val="11.0"/>
      <color rgb="FF244F3D"/>
      <name val="Arial"/>
    </font>
  </fonts>
  <fills count="5">
    <fill>
      <patternFill patternType="none"/>
    </fill>
    <fill>
      <patternFill patternType="lightGray"/>
    </fill>
    <fill>
      <patternFill patternType="solid">
        <fgColor rgb="FFE7EFE9"/>
        <bgColor rgb="FFE7EFE9"/>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164" xfId="0" applyAlignment="1" applyFont="1" applyNumberFormat="1">
      <alignment shrinkToFit="0" vertical="center" wrapText="1"/>
    </xf>
    <xf borderId="0" fillId="3" fontId="3" numFmtId="0" xfId="0" applyAlignment="1" applyFill="1" applyFont="1">
      <alignment readingOrder="0" shrinkToFit="0" vertical="center" wrapText="1"/>
    </xf>
    <xf borderId="0" fillId="4" fontId="2" numFmtId="0" xfId="0" applyAlignment="1" applyFill="1" applyFont="1">
      <alignment shrinkToFit="0" vertical="center" wrapText="1"/>
    </xf>
    <xf borderId="0" fillId="4" fontId="2" numFmtId="165" xfId="0" applyAlignment="1" applyFill="1" applyFont="1" applyNumberFormat="1">
      <alignment shrinkToFit="0" vertical="center" wrapText="1"/>
    </xf>
    <xf borderId="0" fillId="0" fontId="2" numFmtId="166" xfId="0" applyAlignment="1" applyFont="1" applyNumberFormat="1">
      <alignment shrinkToFit="0" vertical="center" wrapText="1"/>
    </xf>
    <xf borderId="0" fillId="0" fontId="2" numFmtId="2"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0"/>
    <col customWidth="1" min="2" max="2" width="112.0"/>
    <col customWidth="1" min="3" max="26" width="8.63"/>
  </cols>
  <sheetData>
    <row r="1" ht="43.5" customHeight="1">
      <c r="A1" s="1" t="s">
        <v>0</v>
      </c>
      <c r="B1" s="1" t="s">
        <v>3</v>
      </c>
    </row>
    <row r="2" ht="60.75" customHeight="1">
      <c r="A2" s="2" t="s">
        <v>4</v>
      </c>
      <c r="B2" s="3" t="s">
        <v>5</v>
      </c>
    </row>
    <row r="3" ht="60.75" customHeight="1">
      <c r="A3" s="2" t="s">
        <v>6</v>
      </c>
      <c r="B3" s="2" t="s">
        <v>7</v>
      </c>
    </row>
    <row r="4" ht="60.75" customHeight="1">
      <c r="A4" s="2" t="s">
        <v>9</v>
      </c>
      <c r="B4" s="3" t="s">
        <v>10</v>
      </c>
    </row>
    <row r="5" ht="60.75" customHeight="1">
      <c r="A5" s="2" t="s">
        <v>12</v>
      </c>
      <c r="B5" s="3" t="s">
        <v>15</v>
      </c>
    </row>
    <row r="6" ht="60.75" customHeight="1">
      <c r="A6" s="2" t="s">
        <v>17</v>
      </c>
      <c r="B6" s="2" t="s">
        <v>19</v>
      </c>
    </row>
    <row r="7" ht="60.75" customHeight="1">
      <c r="A7" s="2" t="s">
        <v>21</v>
      </c>
      <c r="B7" s="2" t="s">
        <v>22</v>
      </c>
    </row>
    <row r="8" ht="60.75" customHeight="1">
      <c r="A8" s="2" t="s">
        <v>24</v>
      </c>
      <c r="B8" s="2" t="s">
        <v>26</v>
      </c>
    </row>
    <row r="9" ht="60.75" customHeight="1">
      <c r="A9" s="2" t="s">
        <v>28</v>
      </c>
      <c r="B9" s="3" t="s">
        <v>30</v>
      </c>
    </row>
    <row r="10" ht="60.75" customHeight="1">
      <c r="A10" s="2" t="s">
        <v>32</v>
      </c>
      <c r="B10" s="3" t="s">
        <v>33</v>
      </c>
    </row>
    <row r="11" ht="60.75" customHeight="1">
      <c r="A11" s="2" t="s">
        <v>35</v>
      </c>
      <c r="B11" s="2" t="s">
        <v>37</v>
      </c>
    </row>
    <row r="12" ht="60.75" customHeight="1">
      <c r="A12" s="2" t="s">
        <v>40</v>
      </c>
      <c r="B12" s="2" t="s">
        <v>42</v>
      </c>
    </row>
    <row r="13" ht="60.75" customHeight="1">
      <c r="A13" s="2" t="s">
        <v>43</v>
      </c>
      <c r="B13" s="3" t="s">
        <v>45</v>
      </c>
    </row>
    <row r="14" ht="60.75" customHeight="1">
      <c r="A14" s="2" t="s">
        <v>46</v>
      </c>
      <c r="B14" s="3" t="s">
        <v>48</v>
      </c>
    </row>
    <row r="15" ht="60.75" customHeight="1">
      <c r="A15" s="2" t="s">
        <v>50</v>
      </c>
      <c r="B15" s="3" t="s">
        <v>53</v>
      </c>
    </row>
    <row r="16" ht="60.75" customHeight="1">
      <c r="A16" s="2" t="s">
        <v>55</v>
      </c>
      <c r="B16" s="2" t="s">
        <v>58</v>
      </c>
    </row>
    <row r="17" ht="60.75" customHeight="1">
      <c r="A17" s="2" t="s">
        <v>59</v>
      </c>
      <c r="B17" s="2" t="s">
        <v>60</v>
      </c>
    </row>
    <row r="18" ht="60.75" customHeight="1">
      <c r="A18" s="2" t="s">
        <v>62</v>
      </c>
      <c r="B18" s="3" t="s">
        <v>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9" width="22.0"/>
    <col customWidth="1" min="10" max="11" width="28.0"/>
    <col customWidth="1" min="12" max="15" width="22.0"/>
    <col customWidth="1" min="16" max="16" width="58.0"/>
    <col customWidth="1" min="17" max="26" width="8.63"/>
  </cols>
  <sheetData>
    <row r="1" ht="43.5" customHeight="1">
      <c r="A1" s="1" t="s">
        <v>1</v>
      </c>
      <c r="B1" s="1" t="s">
        <v>8</v>
      </c>
      <c r="C1" s="1" t="s">
        <v>11</v>
      </c>
      <c r="D1" s="1" t="s">
        <v>13</v>
      </c>
      <c r="E1" s="1" t="s">
        <v>14</v>
      </c>
      <c r="F1" s="1" t="s">
        <v>16</v>
      </c>
      <c r="G1" s="1" t="s">
        <v>18</v>
      </c>
      <c r="H1" s="1" t="s">
        <v>20</v>
      </c>
      <c r="I1" s="1" t="s">
        <v>23</v>
      </c>
      <c r="J1" s="1" t="s">
        <v>25</v>
      </c>
      <c r="K1" s="1" t="s">
        <v>27</v>
      </c>
      <c r="L1" s="1" t="s">
        <v>29</v>
      </c>
      <c r="M1" s="1" t="s">
        <v>31</v>
      </c>
      <c r="N1" s="1" t="s">
        <v>34</v>
      </c>
      <c r="O1" s="1" t="s">
        <v>36</v>
      </c>
      <c r="P1" s="1" t="s">
        <v>39</v>
      </c>
    </row>
    <row r="2" ht="54.75" customHeight="1">
      <c r="A2" s="2" t="s">
        <v>47</v>
      </c>
      <c r="B2" s="2" t="s">
        <v>49</v>
      </c>
      <c r="C2" s="2" t="s">
        <v>51</v>
      </c>
      <c r="D2" s="2" t="s">
        <v>54</v>
      </c>
      <c r="E2" s="2" t="s">
        <v>57</v>
      </c>
      <c r="F2" s="2">
        <v>1.0</v>
      </c>
      <c r="G2" s="2">
        <v>1.0</v>
      </c>
      <c r="H2" s="2">
        <v>1.0</v>
      </c>
      <c r="I2" s="2">
        <v>1.0</v>
      </c>
      <c r="J2" s="4">
        <v>46283.46388888889</v>
      </c>
      <c r="K2" s="4">
        <v>46283.458333333336</v>
      </c>
      <c r="L2" s="2">
        <v>8.0</v>
      </c>
      <c r="M2" s="2" t="s">
        <v>70</v>
      </c>
      <c r="N2" s="2">
        <v>0.0</v>
      </c>
      <c r="O2" s="2" t="s">
        <v>71</v>
      </c>
      <c r="P2" s="2" t="s">
        <v>72</v>
      </c>
    </row>
    <row r="3" ht="54.75" customHeight="1">
      <c r="A3" s="2" t="s">
        <v>68</v>
      </c>
      <c r="B3" s="2" t="s">
        <v>49</v>
      </c>
      <c r="C3" s="2" t="s">
        <v>69</v>
      </c>
      <c r="D3" s="2" t="s">
        <v>75</v>
      </c>
      <c r="E3" s="2" t="s">
        <v>57</v>
      </c>
      <c r="F3" s="2">
        <v>2.0</v>
      </c>
      <c r="G3" s="2">
        <v>2.0</v>
      </c>
      <c r="H3" s="2">
        <v>1.0</v>
      </c>
      <c r="I3" s="2">
        <v>1.0</v>
      </c>
      <c r="J3" s="4">
        <v>46283.47638888889</v>
      </c>
      <c r="K3" s="4">
        <v>46283.458333333336</v>
      </c>
      <c r="L3" s="2">
        <v>26.0</v>
      </c>
      <c r="M3" s="2" t="s">
        <v>70</v>
      </c>
      <c r="N3" s="2">
        <v>0.0</v>
      </c>
      <c r="O3" s="2" t="s">
        <v>84</v>
      </c>
      <c r="P3" s="2" t="s">
        <v>72</v>
      </c>
    </row>
    <row r="4" ht="54.75" customHeight="1">
      <c r="A4" s="2" t="s">
        <v>73</v>
      </c>
      <c r="B4" s="2" t="s">
        <v>93</v>
      </c>
      <c r="C4" s="2" t="s">
        <v>74</v>
      </c>
      <c r="D4" s="2" t="s">
        <v>90</v>
      </c>
      <c r="E4" s="2" t="s">
        <v>57</v>
      </c>
      <c r="F4" s="2">
        <v>1.0</v>
      </c>
      <c r="G4" s="2">
        <v>1.0</v>
      </c>
      <c r="H4" s="2">
        <v>1.0</v>
      </c>
      <c r="I4" s="2">
        <v>0.0</v>
      </c>
      <c r="J4" s="4">
        <v>46283.45972222222</v>
      </c>
      <c r="K4" s="4">
        <v>46283.458333333336</v>
      </c>
      <c r="L4" s="2">
        <v>2.0</v>
      </c>
      <c r="M4" s="2" t="s">
        <v>70</v>
      </c>
      <c r="N4" s="2">
        <v>0.0</v>
      </c>
      <c r="O4" s="2" t="s">
        <v>92</v>
      </c>
      <c r="P4" s="2" t="s">
        <v>106</v>
      </c>
    </row>
    <row r="5" ht="54.75" customHeight="1">
      <c r="A5" s="2" t="s">
        <v>82</v>
      </c>
      <c r="B5" s="2" t="s">
        <v>93</v>
      </c>
      <c r="C5" s="2" t="s">
        <v>83</v>
      </c>
      <c r="D5" s="2" t="s">
        <v>98</v>
      </c>
      <c r="E5" s="2" t="s">
        <v>114</v>
      </c>
      <c r="F5" s="2">
        <v>1.0</v>
      </c>
      <c r="G5" s="2">
        <v>1.0</v>
      </c>
      <c r="H5" s="2">
        <v>1.0</v>
      </c>
      <c r="I5" s="2">
        <v>0.0</v>
      </c>
      <c r="J5" s="4">
        <v>46283.46041666667</v>
      </c>
      <c r="K5" s="4">
        <v>46283.458333333336</v>
      </c>
      <c r="L5" s="2">
        <v>3.0</v>
      </c>
      <c r="M5" s="2" t="s">
        <v>70</v>
      </c>
      <c r="N5" s="2">
        <v>1.0</v>
      </c>
      <c r="O5" s="2" t="s">
        <v>100</v>
      </c>
      <c r="P5" s="2" t="s">
        <v>120</v>
      </c>
    </row>
    <row r="6" ht="54.75" customHeight="1">
      <c r="A6" s="2" t="s">
        <v>89</v>
      </c>
      <c r="B6" s="2" t="s">
        <v>93</v>
      </c>
      <c r="C6" s="2" t="s">
        <v>91</v>
      </c>
      <c r="D6" s="2" t="s">
        <v>122</v>
      </c>
      <c r="E6" s="2" t="s">
        <v>57</v>
      </c>
      <c r="F6" s="2">
        <v>1.0</v>
      </c>
      <c r="G6" s="2">
        <v>1.0</v>
      </c>
      <c r="H6" s="2"/>
      <c r="I6" s="2"/>
      <c r="J6" s="4">
        <v>46283.464583333334</v>
      </c>
      <c r="K6" s="4">
        <v>46283.458333333336</v>
      </c>
      <c r="L6" s="2">
        <v>9.0</v>
      </c>
      <c r="M6" s="2" t="s">
        <v>70</v>
      </c>
      <c r="N6" s="2">
        <v>0.0</v>
      </c>
      <c r="O6" s="2" t="s">
        <v>133</v>
      </c>
      <c r="P6" s="2" t="s">
        <v>134</v>
      </c>
    </row>
    <row r="7" ht="54.75" customHeight="1">
      <c r="A7" s="2" t="s">
        <v>99</v>
      </c>
      <c r="B7" s="2" t="s">
        <v>93</v>
      </c>
      <c r="C7" s="2" t="s">
        <v>103</v>
      </c>
      <c r="D7" s="2" t="s">
        <v>104</v>
      </c>
      <c r="E7" s="2" t="s">
        <v>57</v>
      </c>
      <c r="F7" s="2">
        <v>1.0</v>
      </c>
      <c r="G7" s="2">
        <v>1.0</v>
      </c>
      <c r="H7" s="2">
        <v>1.0</v>
      </c>
      <c r="I7" s="2">
        <v>1.0</v>
      </c>
      <c r="J7" s="4">
        <v>46283.46527777778</v>
      </c>
      <c r="K7" s="4">
        <v>46283.0</v>
      </c>
      <c r="L7" s="2">
        <v>670.0</v>
      </c>
      <c r="M7" s="2" t="s">
        <v>70</v>
      </c>
      <c r="N7" s="2">
        <v>0.0</v>
      </c>
      <c r="O7" s="2" t="s">
        <v>105</v>
      </c>
      <c r="P7" s="2" t="s">
        <v>143</v>
      </c>
    </row>
    <row r="8" ht="54.75" customHeight="1">
      <c r="A8" s="2" t="s">
        <v>110</v>
      </c>
      <c r="B8" s="2" t="s">
        <v>93</v>
      </c>
      <c r="C8" s="2" t="s">
        <v>111</v>
      </c>
      <c r="D8" s="2" t="s">
        <v>112</v>
      </c>
      <c r="E8" s="2" t="s">
        <v>57</v>
      </c>
      <c r="F8" s="2">
        <v>1.0</v>
      </c>
      <c r="G8" s="2">
        <v>0.0</v>
      </c>
      <c r="H8" s="2">
        <v>1.0</v>
      </c>
      <c r="I8" s="2">
        <v>1.0</v>
      </c>
      <c r="J8" s="4">
        <v>46283.46597222222</v>
      </c>
      <c r="K8" s="4">
        <v>46283.458333333336</v>
      </c>
      <c r="L8" s="2">
        <v>11.0</v>
      </c>
      <c r="M8" s="2" t="s">
        <v>70</v>
      </c>
      <c r="N8" s="2">
        <v>0.0</v>
      </c>
      <c r="O8" s="2" t="s">
        <v>113</v>
      </c>
      <c r="P8" s="2" t="s">
        <v>147</v>
      </c>
    </row>
    <row r="9" ht="54.75" customHeight="1">
      <c r="A9" s="2" t="s">
        <v>149</v>
      </c>
      <c r="B9" s="2" t="s">
        <v>150</v>
      </c>
      <c r="C9" s="2" t="s">
        <v>74</v>
      </c>
      <c r="D9" s="2" t="s">
        <v>90</v>
      </c>
      <c r="E9" s="2" t="s">
        <v>57</v>
      </c>
      <c r="F9" s="2">
        <v>1.0</v>
      </c>
      <c r="G9" s="2">
        <v>1.0</v>
      </c>
      <c r="H9" s="2">
        <v>1.0</v>
      </c>
      <c r="I9" s="2">
        <v>0.0</v>
      </c>
      <c r="J9" s="4">
        <v>46283.45972222222</v>
      </c>
      <c r="K9" s="4">
        <v>46283.458333333336</v>
      </c>
      <c r="L9" s="2">
        <v>2.0</v>
      </c>
      <c r="M9" s="2" t="s">
        <v>70</v>
      </c>
      <c r="N9" s="2">
        <v>0.0</v>
      </c>
      <c r="O9" s="2" t="s">
        <v>153</v>
      </c>
      <c r="P9" s="2" t="s">
        <v>72</v>
      </c>
    </row>
    <row r="10" ht="54.75" customHeight="1">
      <c r="A10" s="2" t="s">
        <v>154</v>
      </c>
      <c r="B10" s="2" t="s">
        <v>150</v>
      </c>
      <c r="C10" s="2" t="s">
        <v>83</v>
      </c>
      <c r="D10" s="2" t="s">
        <v>98</v>
      </c>
      <c r="E10" s="2" t="s">
        <v>57</v>
      </c>
      <c r="F10" s="2">
        <v>1.0</v>
      </c>
      <c r="G10" s="2">
        <v>1.0</v>
      </c>
      <c r="H10" s="2">
        <v>1.0</v>
      </c>
      <c r="I10" s="2">
        <v>0.0</v>
      </c>
      <c r="J10" s="4">
        <v>46283.46041666667</v>
      </c>
      <c r="K10" s="4">
        <v>46283.458333333336</v>
      </c>
      <c r="L10" s="2">
        <v>3.0</v>
      </c>
      <c r="M10" s="2" t="s">
        <v>70</v>
      </c>
      <c r="N10" s="2">
        <v>0.0</v>
      </c>
      <c r="O10" s="2" t="s">
        <v>159</v>
      </c>
      <c r="P10" s="2" t="s">
        <v>72</v>
      </c>
    </row>
    <row r="11" ht="54.75" customHeight="1">
      <c r="A11" s="2" t="s">
        <v>160</v>
      </c>
      <c r="B11" s="2" t="s">
        <v>150</v>
      </c>
      <c r="C11" s="2" t="s">
        <v>163</v>
      </c>
      <c r="D11" s="2" t="s">
        <v>165</v>
      </c>
      <c r="E11" s="2" t="s">
        <v>57</v>
      </c>
      <c r="F11" s="2">
        <v>1.0</v>
      </c>
      <c r="G11" s="2">
        <v>1.0</v>
      </c>
      <c r="H11" s="2">
        <v>1.0</v>
      </c>
      <c r="I11" s="2">
        <v>0.0</v>
      </c>
      <c r="J11" s="4">
        <v>46283.46111111111</v>
      </c>
      <c r="K11" s="4">
        <v>46283.458333333336</v>
      </c>
      <c r="L11" s="2">
        <v>4.0</v>
      </c>
      <c r="M11" s="2" t="s">
        <v>70</v>
      </c>
      <c r="N11" s="2">
        <v>0.0</v>
      </c>
      <c r="O11" s="2" t="s">
        <v>168</v>
      </c>
      <c r="P11" s="2" t="s">
        <v>72</v>
      </c>
    </row>
    <row r="12" ht="54.75" customHeight="1">
      <c r="A12" s="2" t="s">
        <v>171</v>
      </c>
      <c r="B12" s="2" t="s">
        <v>150</v>
      </c>
      <c r="C12" s="2" t="s">
        <v>172</v>
      </c>
      <c r="D12" s="2" t="s">
        <v>173</v>
      </c>
      <c r="E12" s="2" t="s">
        <v>57</v>
      </c>
      <c r="F12" s="2">
        <v>1.0</v>
      </c>
      <c r="G12" s="2">
        <v>1.0</v>
      </c>
      <c r="H12" s="2">
        <v>1.0</v>
      </c>
      <c r="I12" s="2">
        <v>0.0</v>
      </c>
      <c r="J12" s="4">
        <v>46283.461805555555</v>
      </c>
      <c r="K12" s="4">
        <v>46283.458333333336</v>
      </c>
      <c r="L12" s="2">
        <v>5.0</v>
      </c>
      <c r="M12" s="2" t="s">
        <v>70</v>
      </c>
      <c r="N12" s="2">
        <v>0.0</v>
      </c>
      <c r="O12" s="2" t="s">
        <v>179</v>
      </c>
      <c r="P12" s="2" t="s">
        <v>72</v>
      </c>
    </row>
    <row r="13" ht="54.75" customHeight="1">
      <c r="A13" s="2" t="s">
        <v>180</v>
      </c>
      <c r="B13" s="2" t="s">
        <v>150</v>
      </c>
      <c r="C13" s="2" t="s">
        <v>182</v>
      </c>
      <c r="D13" s="2" t="s">
        <v>184</v>
      </c>
      <c r="E13" s="2" t="s">
        <v>57</v>
      </c>
      <c r="F13" s="2">
        <v>1.0</v>
      </c>
      <c r="G13" s="2">
        <v>1.0</v>
      </c>
      <c r="H13" s="2">
        <v>1.0</v>
      </c>
      <c r="I13" s="2">
        <v>0.0</v>
      </c>
      <c r="J13" s="4">
        <v>46283.4625</v>
      </c>
      <c r="K13" s="4">
        <v>46283.458333333336</v>
      </c>
      <c r="L13" s="2">
        <v>6.0</v>
      </c>
      <c r="M13" s="2" t="s">
        <v>70</v>
      </c>
      <c r="N13" s="2">
        <v>0.0</v>
      </c>
      <c r="O13" s="2" t="s">
        <v>187</v>
      </c>
      <c r="P13" s="2" t="s">
        <v>72</v>
      </c>
    </row>
    <row r="14" ht="54.75" customHeight="1">
      <c r="A14" s="2" t="s">
        <v>188</v>
      </c>
      <c r="B14" s="2" t="s">
        <v>150</v>
      </c>
      <c r="C14" s="2" t="s">
        <v>189</v>
      </c>
      <c r="D14" s="2" t="s">
        <v>190</v>
      </c>
      <c r="E14" s="2" t="s">
        <v>57</v>
      </c>
      <c r="F14" s="2">
        <v>1.0</v>
      </c>
      <c r="G14" s="2">
        <v>1.0</v>
      </c>
      <c r="H14" s="2">
        <v>1.0</v>
      </c>
      <c r="I14" s="2">
        <v>0.0</v>
      </c>
      <c r="J14" s="4">
        <v>46283.46319444444</v>
      </c>
      <c r="K14" s="4">
        <v>46283.458333333336</v>
      </c>
      <c r="L14" s="2">
        <v>7.0</v>
      </c>
      <c r="M14" s="2" t="s">
        <v>70</v>
      </c>
      <c r="N14" s="2">
        <v>0.0</v>
      </c>
      <c r="O14" s="2" t="s">
        <v>191</v>
      </c>
      <c r="P14" s="2" t="s">
        <v>72</v>
      </c>
    </row>
    <row r="15" ht="54.75" customHeight="1">
      <c r="A15" s="2" t="s">
        <v>192</v>
      </c>
      <c r="B15" s="2" t="s">
        <v>150</v>
      </c>
      <c r="C15" s="2" t="s">
        <v>51</v>
      </c>
      <c r="D15" s="2" t="s">
        <v>54</v>
      </c>
      <c r="E15" s="2" t="s">
        <v>57</v>
      </c>
      <c r="F15" s="2">
        <v>1.0</v>
      </c>
      <c r="G15" s="2">
        <v>1.0</v>
      </c>
      <c r="H15" s="2">
        <v>1.0</v>
      </c>
      <c r="I15" s="2">
        <v>1.0</v>
      </c>
      <c r="J15" s="4">
        <v>46283.46388888889</v>
      </c>
      <c r="K15" s="4">
        <v>46283.458333333336</v>
      </c>
      <c r="L15" s="2">
        <v>8.0</v>
      </c>
      <c r="M15" s="2" t="s">
        <v>70</v>
      </c>
      <c r="N15" s="2">
        <v>0.0</v>
      </c>
      <c r="O15" s="2" t="s">
        <v>193</v>
      </c>
      <c r="P15" s="2" t="s">
        <v>72</v>
      </c>
    </row>
    <row r="16" ht="54.75" customHeight="1">
      <c r="A16" s="2" t="s">
        <v>194</v>
      </c>
      <c r="B16" s="2" t="s">
        <v>150</v>
      </c>
      <c r="C16" s="2" t="s">
        <v>91</v>
      </c>
      <c r="D16" s="2" t="s">
        <v>122</v>
      </c>
      <c r="E16" s="2" t="s">
        <v>57</v>
      </c>
      <c r="F16" s="2">
        <v>1.0</v>
      </c>
      <c r="G16" s="2">
        <v>1.0</v>
      </c>
      <c r="H16" s="2">
        <v>1.0</v>
      </c>
      <c r="I16" s="2">
        <v>1.0</v>
      </c>
      <c r="J16" s="4">
        <v>46283.464583333334</v>
      </c>
      <c r="K16" s="4">
        <v>46283.458333333336</v>
      </c>
      <c r="L16" s="2">
        <v>9.0</v>
      </c>
      <c r="M16" s="2" t="s">
        <v>70</v>
      </c>
      <c r="N16" s="2">
        <v>0.0</v>
      </c>
      <c r="O16" s="2" t="s">
        <v>195</v>
      </c>
      <c r="P16" s="2" t="s">
        <v>72</v>
      </c>
    </row>
    <row r="17" ht="54.75" customHeight="1">
      <c r="A17" s="2" t="s">
        <v>196</v>
      </c>
      <c r="B17" s="2" t="s">
        <v>150</v>
      </c>
      <c r="C17" s="2" t="s">
        <v>103</v>
      </c>
      <c r="D17" s="2" t="s">
        <v>104</v>
      </c>
      <c r="E17" s="2" t="s">
        <v>57</v>
      </c>
      <c r="F17" s="2">
        <v>1.0</v>
      </c>
      <c r="G17" s="2">
        <v>1.0</v>
      </c>
      <c r="H17" s="2">
        <v>1.0</v>
      </c>
      <c r="I17" s="2">
        <v>1.0</v>
      </c>
      <c r="J17" s="4">
        <v>46283.46527777778</v>
      </c>
      <c r="K17" s="4">
        <v>46283.458333333336</v>
      </c>
      <c r="L17" s="2">
        <v>10.0</v>
      </c>
      <c r="M17" s="2" t="s">
        <v>70</v>
      </c>
      <c r="N17" s="2">
        <v>0.0</v>
      </c>
      <c r="O17" s="2" t="s">
        <v>197</v>
      </c>
      <c r="P17" s="2" t="s">
        <v>72</v>
      </c>
    </row>
    <row r="18" ht="54.75" customHeight="1">
      <c r="A18" s="2" t="s">
        <v>198</v>
      </c>
      <c r="B18" s="2" t="s">
        <v>150</v>
      </c>
      <c r="C18" s="2" t="s">
        <v>111</v>
      </c>
      <c r="D18" s="2" t="s">
        <v>112</v>
      </c>
      <c r="E18" s="2" t="s">
        <v>57</v>
      </c>
      <c r="F18" s="2">
        <v>1.0</v>
      </c>
      <c r="G18" s="2">
        <v>1.0</v>
      </c>
      <c r="H18" s="2">
        <v>1.0</v>
      </c>
      <c r="I18" s="2">
        <v>1.0</v>
      </c>
      <c r="J18" s="4">
        <v>46283.46597222222</v>
      </c>
      <c r="K18" s="4">
        <v>46283.458333333336</v>
      </c>
      <c r="L18" s="2">
        <v>11.0</v>
      </c>
      <c r="M18" s="2" t="s">
        <v>70</v>
      </c>
      <c r="N18" s="2">
        <v>0.0</v>
      </c>
      <c r="O18" s="2" t="s">
        <v>199</v>
      </c>
      <c r="P18" s="2" t="s">
        <v>72</v>
      </c>
    </row>
    <row r="19" ht="54.75" customHeight="1">
      <c r="A19" s="2" t="s">
        <v>200</v>
      </c>
      <c r="B19" s="2" t="s">
        <v>150</v>
      </c>
      <c r="C19" s="2" t="s">
        <v>201</v>
      </c>
      <c r="D19" s="2" t="s">
        <v>202</v>
      </c>
      <c r="E19" s="2" t="s">
        <v>57</v>
      </c>
      <c r="F19" s="2">
        <v>1.0</v>
      </c>
      <c r="G19" s="2">
        <v>1.0</v>
      </c>
      <c r="H19" s="2">
        <v>1.0</v>
      </c>
      <c r="I19" s="2">
        <v>1.0</v>
      </c>
      <c r="J19" s="4">
        <v>46283.46666666667</v>
      </c>
      <c r="K19" s="4">
        <v>46283.458333333336</v>
      </c>
      <c r="L19" s="2">
        <v>12.0</v>
      </c>
      <c r="M19" s="2" t="s">
        <v>70</v>
      </c>
      <c r="N19" s="2">
        <v>0.0</v>
      </c>
      <c r="O19" s="2" t="s">
        <v>203</v>
      </c>
      <c r="P19" s="2" t="s">
        <v>72</v>
      </c>
    </row>
    <row r="20" ht="54.75" customHeight="1">
      <c r="A20" s="2" t="s">
        <v>204</v>
      </c>
      <c r="B20" s="2" t="s">
        <v>150</v>
      </c>
      <c r="C20" s="2" t="s">
        <v>205</v>
      </c>
      <c r="D20" s="2" t="s">
        <v>206</v>
      </c>
      <c r="E20" s="2" t="s">
        <v>57</v>
      </c>
      <c r="F20" s="2">
        <v>1.0</v>
      </c>
      <c r="G20" s="2">
        <v>1.0</v>
      </c>
      <c r="H20" s="2">
        <v>1.0</v>
      </c>
      <c r="I20" s="2">
        <v>1.0</v>
      </c>
      <c r="J20" s="4">
        <v>46283.467361111114</v>
      </c>
      <c r="K20" s="4">
        <v>46283.458333333336</v>
      </c>
      <c r="L20" s="2">
        <v>13.0</v>
      </c>
      <c r="M20" s="2" t="s">
        <v>70</v>
      </c>
      <c r="N20" s="2">
        <v>0.0</v>
      </c>
      <c r="O20" s="2" t="s">
        <v>207</v>
      </c>
      <c r="P20" s="2" t="s">
        <v>72</v>
      </c>
    </row>
    <row r="21" ht="54.75" customHeight="1">
      <c r="A21" s="2" t="s">
        <v>208</v>
      </c>
      <c r="B21" s="2" t="s">
        <v>150</v>
      </c>
      <c r="C21" s="2" t="s">
        <v>209</v>
      </c>
      <c r="D21" s="2" t="s">
        <v>210</v>
      </c>
      <c r="E21" s="2" t="s">
        <v>57</v>
      </c>
      <c r="F21" s="2">
        <v>1.0</v>
      </c>
      <c r="G21" s="2">
        <v>1.0</v>
      </c>
      <c r="H21" s="2">
        <v>1.0</v>
      </c>
      <c r="I21" s="2">
        <v>1.0</v>
      </c>
      <c r="J21" s="4">
        <v>46283.46805555555</v>
      </c>
      <c r="K21" s="4">
        <v>46283.458333333336</v>
      </c>
      <c r="L21" s="2">
        <v>14.0</v>
      </c>
      <c r="M21" s="2" t="s">
        <v>70</v>
      </c>
      <c r="N21" s="2">
        <v>0.0</v>
      </c>
      <c r="O21" s="2" t="s">
        <v>211</v>
      </c>
      <c r="P21" s="2" t="s">
        <v>72</v>
      </c>
    </row>
    <row r="22" ht="54.75" customHeight="1">
      <c r="A22" s="2" t="s">
        <v>212</v>
      </c>
      <c r="B22" s="2" t="s">
        <v>150</v>
      </c>
      <c r="C22" s="2" t="s">
        <v>213</v>
      </c>
      <c r="D22" s="2" t="s">
        <v>214</v>
      </c>
      <c r="E22" s="2" t="s">
        <v>57</v>
      </c>
      <c r="F22" s="2">
        <v>1.0</v>
      </c>
      <c r="G22" s="2">
        <v>1.0</v>
      </c>
      <c r="H22" s="2">
        <v>1.0</v>
      </c>
      <c r="I22" s="2">
        <v>1.0</v>
      </c>
      <c r="J22" s="4">
        <v>46283.46875</v>
      </c>
      <c r="K22" s="4">
        <v>46283.458333333336</v>
      </c>
      <c r="L22" s="2">
        <v>15.0</v>
      </c>
      <c r="M22" s="2" t="s">
        <v>70</v>
      </c>
      <c r="N22" s="2">
        <v>0.0</v>
      </c>
      <c r="O22" s="2" t="s">
        <v>216</v>
      </c>
      <c r="P22" s="2" t="s">
        <v>72</v>
      </c>
    </row>
    <row r="23" ht="54.75" customHeight="1">
      <c r="A23" s="2" t="s">
        <v>219</v>
      </c>
      <c r="B23" s="2" t="s">
        <v>150</v>
      </c>
      <c r="C23" s="2" t="s">
        <v>220</v>
      </c>
      <c r="D23" s="2" t="s">
        <v>222</v>
      </c>
      <c r="E23" s="2" t="s">
        <v>57</v>
      </c>
      <c r="F23" s="2">
        <v>1.0</v>
      </c>
      <c r="G23" s="2">
        <v>1.0</v>
      </c>
      <c r="H23" s="2">
        <v>1.0</v>
      </c>
      <c r="I23" s="2">
        <v>1.0</v>
      </c>
      <c r="J23" s="4">
        <v>46283.46944444445</v>
      </c>
      <c r="K23" s="4">
        <v>46283.458333333336</v>
      </c>
      <c r="L23" s="2">
        <v>16.0</v>
      </c>
      <c r="M23" s="2" t="s">
        <v>70</v>
      </c>
      <c r="N23" s="2">
        <v>0.0</v>
      </c>
      <c r="O23" s="2" t="s">
        <v>223</v>
      </c>
      <c r="P23" s="2" t="s">
        <v>72</v>
      </c>
    </row>
    <row r="24" ht="54.75" customHeight="1">
      <c r="A24" s="2" t="s">
        <v>224</v>
      </c>
      <c r="B24" s="2" t="s">
        <v>150</v>
      </c>
      <c r="C24" s="2" t="s">
        <v>226</v>
      </c>
      <c r="D24" s="2" t="s">
        <v>228</v>
      </c>
      <c r="E24" s="2" t="s">
        <v>57</v>
      </c>
      <c r="F24" s="2">
        <v>1.0</v>
      </c>
      <c r="G24" s="2">
        <v>1.0</v>
      </c>
      <c r="H24" s="2">
        <v>1.0</v>
      </c>
      <c r="I24" s="2">
        <v>1.0</v>
      </c>
      <c r="J24" s="4">
        <v>46283.470138888886</v>
      </c>
      <c r="K24" s="4">
        <v>46283.458333333336</v>
      </c>
      <c r="L24" s="2">
        <v>17.0</v>
      </c>
      <c r="M24" s="2" t="s">
        <v>70</v>
      </c>
      <c r="N24" s="2">
        <v>0.0</v>
      </c>
      <c r="O24" s="2" t="s">
        <v>232</v>
      </c>
      <c r="P24" s="2" t="s">
        <v>72</v>
      </c>
    </row>
    <row r="25" ht="54.75" customHeight="1">
      <c r="A25" s="2" t="s">
        <v>235</v>
      </c>
      <c r="B25" s="2" t="s">
        <v>150</v>
      </c>
      <c r="C25" s="2" t="s">
        <v>237</v>
      </c>
      <c r="D25" s="2" t="s">
        <v>239</v>
      </c>
      <c r="E25" s="2" t="s">
        <v>57</v>
      </c>
      <c r="F25" s="2">
        <v>1.0</v>
      </c>
      <c r="G25" s="2">
        <v>1.0</v>
      </c>
      <c r="H25" s="2">
        <v>1.0</v>
      </c>
      <c r="I25" s="2">
        <v>1.0</v>
      </c>
      <c r="J25" s="4">
        <v>46283.47083333333</v>
      </c>
      <c r="K25" s="4">
        <v>46283.458333333336</v>
      </c>
      <c r="L25" s="2">
        <v>18.0</v>
      </c>
      <c r="M25" s="2" t="s">
        <v>70</v>
      </c>
      <c r="N25" s="2">
        <v>0.0</v>
      </c>
      <c r="O25" s="2" t="s">
        <v>248</v>
      </c>
      <c r="P25" s="2" t="s">
        <v>72</v>
      </c>
    </row>
    <row r="26" ht="54.75" customHeight="1">
      <c r="A26" s="2" t="s">
        <v>250</v>
      </c>
      <c r="B26" s="2" t="s">
        <v>150</v>
      </c>
      <c r="C26" s="2" t="s">
        <v>253</v>
      </c>
      <c r="D26" s="2" t="s">
        <v>254</v>
      </c>
      <c r="E26" s="2" t="s">
        <v>57</v>
      </c>
      <c r="F26" s="2">
        <v>1.0</v>
      </c>
      <c r="G26" s="2">
        <v>1.0</v>
      </c>
      <c r="H26" s="2">
        <v>1.0</v>
      </c>
      <c r="I26" s="2">
        <v>1.0</v>
      </c>
      <c r="J26" s="4">
        <v>46283.47152777778</v>
      </c>
      <c r="K26" s="4">
        <v>46283.458333333336</v>
      </c>
      <c r="L26" s="2">
        <v>19.0</v>
      </c>
      <c r="M26" s="2" t="s">
        <v>70</v>
      </c>
      <c r="N26" s="2">
        <v>0.0</v>
      </c>
      <c r="O26" s="2" t="s">
        <v>255</v>
      </c>
      <c r="P26" s="2" t="s">
        <v>72</v>
      </c>
    </row>
    <row r="27" ht="54.75" customHeight="1">
      <c r="A27" s="2" t="s">
        <v>256</v>
      </c>
      <c r="B27" s="2" t="s">
        <v>150</v>
      </c>
      <c r="C27" s="2" t="s">
        <v>257</v>
      </c>
      <c r="D27" s="2" t="s">
        <v>258</v>
      </c>
      <c r="E27" s="2" t="s">
        <v>57</v>
      </c>
      <c r="F27" s="2">
        <v>1.0</v>
      </c>
      <c r="G27" s="2">
        <v>1.0</v>
      </c>
      <c r="H27" s="2">
        <v>1.0</v>
      </c>
      <c r="I27" s="2">
        <v>1.0</v>
      </c>
      <c r="J27" s="4">
        <v>46283.47222222222</v>
      </c>
      <c r="K27" s="4">
        <v>46283.458333333336</v>
      </c>
      <c r="L27" s="2">
        <v>20.0</v>
      </c>
      <c r="M27" s="2" t="s">
        <v>70</v>
      </c>
      <c r="N27" s="2">
        <v>0.0</v>
      </c>
      <c r="O27" s="2" t="s">
        <v>259</v>
      </c>
      <c r="P27" s="2" t="s">
        <v>72</v>
      </c>
    </row>
    <row r="28" ht="54.75" customHeight="1">
      <c r="A28" s="2" t="s">
        <v>260</v>
      </c>
      <c r="B28" s="2" t="s">
        <v>150</v>
      </c>
      <c r="C28" s="2" t="s">
        <v>261</v>
      </c>
      <c r="D28" s="2" t="s">
        <v>262</v>
      </c>
      <c r="E28" s="2" t="s">
        <v>57</v>
      </c>
      <c r="F28" s="2">
        <v>1.0</v>
      </c>
      <c r="G28" s="2">
        <v>1.0</v>
      </c>
      <c r="H28" s="2">
        <v>1.0</v>
      </c>
      <c r="I28" s="2">
        <v>1.0</v>
      </c>
      <c r="J28" s="4">
        <v>46283.472916666666</v>
      </c>
      <c r="K28" s="4">
        <v>46283.458333333336</v>
      </c>
      <c r="L28" s="2">
        <v>21.0</v>
      </c>
      <c r="M28" s="2" t="s">
        <v>70</v>
      </c>
      <c r="N28" s="2">
        <v>0.0</v>
      </c>
      <c r="O28" s="2" t="s">
        <v>263</v>
      </c>
      <c r="P28" s="2" t="s">
        <v>72</v>
      </c>
    </row>
    <row r="29" ht="54.75" customHeight="1">
      <c r="A29" s="2" t="s">
        <v>264</v>
      </c>
      <c r="B29" s="2" t="s">
        <v>150</v>
      </c>
      <c r="C29" s="2" t="s">
        <v>265</v>
      </c>
      <c r="D29" s="2" t="s">
        <v>54</v>
      </c>
      <c r="E29" s="2" t="s">
        <v>57</v>
      </c>
      <c r="F29" s="2">
        <v>1.0</v>
      </c>
      <c r="G29" s="2">
        <v>1.0</v>
      </c>
      <c r="H29" s="2">
        <v>1.0</v>
      </c>
      <c r="I29" s="2">
        <v>1.0</v>
      </c>
      <c r="J29" s="4">
        <v>46283.47361111111</v>
      </c>
      <c r="K29" s="4">
        <v>46283.458333333336</v>
      </c>
      <c r="L29" s="2">
        <v>22.0</v>
      </c>
      <c r="M29" s="2" t="s">
        <v>70</v>
      </c>
      <c r="N29" s="2">
        <v>0.0</v>
      </c>
      <c r="O29" s="2" t="s">
        <v>266</v>
      </c>
      <c r="P29" s="2" t="s">
        <v>72</v>
      </c>
    </row>
    <row r="30" ht="54.75" customHeight="1">
      <c r="A30" s="2" t="s">
        <v>267</v>
      </c>
      <c r="B30" s="2" t="s">
        <v>150</v>
      </c>
      <c r="C30" s="2" t="s">
        <v>269</v>
      </c>
      <c r="D30" s="2" t="s">
        <v>122</v>
      </c>
      <c r="E30" s="2" t="s">
        <v>57</v>
      </c>
      <c r="F30" s="2">
        <v>1.0</v>
      </c>
      <c r="G30" s="2">
        <v>1.0</v>
      </c>
      <c r="H30" s="2">
        <v>1.0</v>
      </c>
      <c r="I30" s="2">
        <v>1.0</v>
      </c>
      <c r="J30" s="4">
        <v>46283.47430555556</v>
      </c>
      <c r="K30" s="4">
        <v>46283.458333333336</v>
      </c>
      <c r="L30" s="2">
        <v>23.0</v>
      </c>
      <c r="M30" s="2" t="s">
        <v>70</v>
      </c>
      <c r="N30" s="2">
        <v>0.0</v>
      </c>
      <c r="O30" s="2" t="s">
        <v>271</v>
      </c>
      <c r="P30" s="2" t="s">
        <v>72</v>
      </c>
    </row>
    <row r="31" ht="54.75" customHeight="1">
      <c r="A31" s="2" t="s">
        <v>272</v>
      </c>
      <c r="B31" s="2" t="s">
        <v>150</v>
      </c>
      <c r="C31" s="2" t="s">
        <v>273</v>
      </c>
      <c r="D31" s="2" t="s">
        <v>104</v>
      </c>
      <c r="E31" s="2" t="s">
        <v>57</v>
      </c>
      <c r="F31" s="2">
        <v>1.0</v>
      </c>
      <c r="G31" s="2">
        <v>1.0</v>
      </c>
      <c r="H31" s="2">
        <v>1.0</v>
      </c>
      <c r="I31" s="2">
        <v>1.0</v>
      </c>
      <c r="J31" s="4">
        <v>46283.475</v>
      </c>
      <c r="K31" s="4">
        <v>46283.458333333336</v>
      </c>
      <c r="L31" s="2">
        <v>24.0</v>
      </c>
      <c r="M31" s="2" t="s">
        <v>70</v>
      </c>
      <c r="N31" s="2">
        <v>0.0</v>
      </c>
      <c r="O31" s="2" t="s">
        <v>274</v>
      </c>
      <c r="P31" s="2" t="s">
        <v>72</v>
      </c>
    </row>
    <row r="32" ht="54.75" customHeight="1">
      <c r="A32" s="2" t="s">
        <v>275</v>
      </c>
      <c r="B32" s="2" t="s">
        <v>150</v>
      </c>
      <c r="C32" s="2" t="s">
        <v>276</v>
      </c>
      <c r="D32" s="2" t="s">
        <v>112</v>
      </c>
      <c r="E32" s="2" t="s">
        <v>57</v>
      </c>
      <c r="F32" s="2">
        <v>1.0</v>
      </c>
      <c r="G32" s="2">
        <v>1.0</v>
      </c>
      <c r="H32" s="2">
        <v>1.0</v>
      </c>
      <c r="I32" s="2">
        <v>1.0</v>
      </c>
      <c r="J32" s="4">
        <v>46283.475694444445</v>
      </c>
      <c r="K32" s="4">
        <v>46283.458333333336</v>
      </c>
      <c r="L32" s="2">
        <v>25.0</v>
      </c>
      <c r="M32" s="2" t="s">
        <v>70</v>
      </c>
      <c r="N32" s="2">
        <v>0.0</v>
      </c>
      <c r="O32" s="2" t="s">
        <v>278</v>
      </c>
      <c r="P32" s="2" t="s">
        <v>72</v>
      </c>
    </row>
    <row r="33" ht="54.75" customHeight="1">
      <c r="A33" s="2" t="s">
        <v>280</v>
      </c>
      <c r="B33" s="2" t="s">
        <v>150</v>
      </c>
      <c r="C33" s="2" t="s">
        <v>69</v>
      </c>
      <c r="D33" s="2" t="s">
        <v>75</v>
      </c>
      <c r="E33" s="2" t="s">
        <v>57</v>
      </c>
      <c r="F33" s="2">
        <v>2.0</v>
      </c>
      <c r="G33" s="2">
        <v>2.0</v>
      </c>
      <c r="H33" s="2">
        <v>1.0</v>
      </c>
      <c r="I33" s="2">
        <v>1.0</v>
      </c>
      <c r="J33" s="4">
        <v>46283.47638888889</v>
      </c>
      <c r="K33" s="4">
        <v>46283.458333333336</v>
      </c>
      <c r="L33" s="2">
        <v>26.0</v>
      </c>
      <c r="M33" s="2" t="s">
        <v>70</v>
      </c>
      <c r="N33" s="2">
        <v>0.0</v>
      </c>
      <c r="O33" s="2" t="s">
        <v>282</v>
      </c>
      <c r="P33" s="2" t="s">
        <v>72</v>
      </c>
    </row>
    <row r="34" ht="54.75" customHeight="1">
      <c r="A34" s="2" t="s">
        <v>284</v>
      </c>
      <c r="B34" s="2" t="s">
        <v>150</v>
      </c>
      <c r="C34" s="2" t="s">
        <v>285</v>
      </c>
      <c r="D34" s="2" t="s">
        <v>286</v>
      </c>
      <c r="E34" s="2" t="s">
        <v>57</v>
      </c>
      <c r="F34" s="2">
        <v>2.0</v>
      </c>
      <c r="G34" s="2">
        <v>2.0</v>
      </c>
      <c r="H34" s="2">
        <v>1.0</v>
      </c>
      <c r="I34" s="2">
        <v>1.0</v>
      </c>
      <c r="J34" s="4">
        <v>46283.47708333333</v>
      </c>
      <c r="K34" s="4">
        <v>46283.458333333336</v>
      </c>
      <c r="L34" s="2">
        <v>27.0</v>
      </c>
      <c r="M34" s="2" t="s">
        <v>70</v>
      </c>
      <c r="N34" s="2">
        <v>0.0</v>
      </c>
      <c r="O34" s="2" t="s">
        <v>288</v>
      </c>
      <c r="P34" s="2" t="s">
        <v>72</v>
      </c>
    </row>
    <row r="35" ht="54.75" customHeight="1">
      <c r="A35" s="2" t="s">
        <v>290</v>
      </c>
      <c r="B35" s="2" t="s">
        <v>150</v>
      </c>
      <c r="C35" s="2" t="s">
        <v>291</v>
      </c>
      <c r="D35" s="2" t="s">
        <v>292</v>
      </c>
      <c r="E35" s="2" t="s">
        <v>57</v>
      </c>
      <c r="F35" s="2">
        <v>2.0</v>
      </c>
      <c r="G35" s="2">
        <v>2.0</v>
      </c>
      <c r="H35" s="2">
        <v>1.0</v>
      </c>
      <c r="I35" s="2">
        <v>1.0</v>
      </c>
      <c r="J35" s="4">
        <v>46283.47777777778</v>
      </c>
      <c r="K35" s="4">
        <v>46283.458333333336</v>
      </c>
      <c r="L35" s="2">
        <v>28.0</v>
      </c>
      <c r="M35" s="2" t="s">
        <v>70</v>
      </c>
      <c r="N35" s="2">
        <v>0.0</v>
      </c>
      <c r="O35" s="2" t="s">
        <v>295</v>
      </c>
      <c r="P35" s="2" t="s">
        <v>72</v>
      </c>
    </row>
    <row r="36" ht="54.75" customHeight="1">
      <c r="A36" s="2" t="s">
        <v>296</v>
      </c>
      <c r="B36" s="2" t="s">
        <v>150</v>
      </c>
      <c r="C36" s="2" t="s">
        <v>297</v>
      </c>
      <c r="D36" s="2" t="s">
        <v>298</v>
      </c>
      <c r="E36" s="2" t="s">
        <v>57</v>
      </c>
      <c r="F36" s="2">
        <v>2.0</v>
      </c>
      <c r="G36" s="2">
        <v>2.0</v>
      </c>
      <c r="H36" s="2">
        <v>1.0</v>
      </c>
      <c r="I36" s="2">
        <v>1.0</v>
      </c>
      <c r="J36" s="4">
        <v>46283.478472222225</v>
      </c>
      <c r="K36" s="4">
        <v>46283.458333333336</v>
      </c>
      <c r="L36" s="2">
        <v>29.0</v>
      </c>
      <c r="M36" s="2" t="s">
        <v>70</v>
      </c>
      <c r="N36" s="2">
        <v>0.0</v>
      </c>
      <c r="O36" s="2" t="s">
        <v>299</v>
      </c>
      <c r="P36" s="2" t="s">
        <v>72</v>
      </c>
    </row>
    <row r="37" ht="54.75" customHeight="1">
      <c r="A37" s="2" t="s">
        <v>300</v>
      </c>
      <c r="B37" s="2" t="s">
        <v>150</v>
      </c>
      <c r="C37" s="2" t="s">
        <v>301</v>
      </c>
      <c r="D37" s="2" t="s">
        <v>302</v>
      </c>
      <c r="E37" s="2" t="s">
        <v>57</v>
      </c>
      <c r="F37" s="2">
        <v>2.0</v>
      </c>
      <c r="G37" s="2">
        <v>2.0</v>
      </c>
      <c r="H37" s="2">
        <v>1.0</v>
      </c>
      <c r="I37" s="2">
        <v>1.0</v>
      </c>
      <c r="J37" s="4">
        <v>46283.479166666664</v>
      </c>
      <c r="K37" s="4">
        <v>46283.458333333336</v>
      </c>
      <c r="L37" s="2">
        <v>30.0</v>
      </c>
      <c r="M37" s="2" t="s">
        <v>70</v>
      </c>
      <c r="N37" s="2">
        <v>0.0</v>
      </c>
      <c r="O37" s="2" t="s">
        <v>310</v>
      </c>
      <c r="P37" s="2" t="s">
        <v>72</v>
      </c>
    </row>
    <row r="38" ht="54.75" customHeight="1">
      <c r="A38" s="2" t="s">
        <v>311</v>
      </c>
      <c r="B38" s="2" t="s">
        <v>150</v>
      </c>
      <c r="C38" s="2" t="s">
        <v>312</v>
      </c>
      <c r="D38" s="2" t="s">
        <v>313</v>
      </c>
      <c r="E38" s="2" t="s">
        <v>57</v>
      </c>
      <c r="F38" s="2">
        <v>2.0</v>
      </c>
      <c r="G38" s="2">
        <v>2.0</v>
      </c>
      <c r="H38" s="2">
        <v>1.0</v>
      </c>
      <c r="I38" s="2">
        <v>1.0</v>
      </c>
      <c r="J38" s="4">
        <v>46283.47986111111</v>
      </c>
      <c r="K38" s="4">
        <v>46283.458333333336</v>
      </c>
      <c r="L38" s="2">
        <v>31.0</v>
      </c>
      <c r="M38" s="2" t="s">
        <v>70</v>
      </c>
      <c r="N38" s="2">
        <v>0.0</v>
      </c>
      <c r="O38" s="2" t="s">
        <v>314</v>
      </c>
      <c r="P38" s="2" t="s">
        <v>72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22.0"/>
    <col customWidth="1" min="8" max="11" width="27.0"/>
    <col customWidth="1" min="12" max="26" width="8.63"/>
  </cols>
  <sheetData>
    <row r="1" ht="43.5" customHeight="1">
      <c r="A1" s="1" t="s">
        <v>2</v>
      </c>
      <c r="B1" s="1" t="s">
        <v>1</v>
      </c>
      <c r="C1" s="1" t="s">
        <v>11</v>
      </c>
      <c r="D1" s="1" t="s">
        <v>13</v>
      </c>
      <c r="E1" s="1" t="s">
        <v>36</v>
      </c>
      <c r="F1" s="1" t="s">
        <v>52</v>
      </c>
      <c r="G1" s="1" t="s">
        <v>56</v>
      </c>
      <c r="H1" s="1" t="s">
        <v>27</v>
      </c>
      <c r="I1" s="1" t="s">
        <v>25</v>
      </c>
      <c r="J1" s="1" t="s">
        <v>61</v>
      </c>
      <c r="K1" s="1" t="s">
        <v>63</v>
      </c>
    </row>
    <row r="2" ht="43.5" customHeight="1">
      <c r="A2" s="5" t="s">
        <v>66</v>
      </c>
      <c r="B2" s="5" t="s">
        <v>47</v>
      </c>
      <c r="C2" s="5" t="s">
        <v>51</v>
      </c>
      <c r="D2" s="5" t="s">
        <v>54</v>
      </c>
      <c r="E2" s="5" t="s">
        <v>71</v>
      </c>
      <c r="F2" s="5" t="s">
        <v>65</v>
      </c>
      <c r="G2" s="5" t="s">
        <v>76</v>
      </c>
      <c r="H2" s="5" t="s">
        <v>78</v>
      </c>
      <c r="I2" s="5" t="s">
        <v>79</v>
      </c>
      <c r="J2" s="5" t="s">
        <v>80</v>
      </c>
      <c r="K2" s="5" t="s">
        <v>81</v>
      </c>
    </row>
    <row r="3" ht="43.5" customHeight="1">
      <c r="A3" s="5" t="s">
        <v>66</v>
      </c>
      <c r="B3" s="5" t="s">
        <v>68</v>
      </c>
      <c r="C3" s="5" t="s">
        <v>69</v>
      </c>
      <c r="D3" s="5" t="s">
        <v>75</v>
      </c>
      <c r="E3" s="5" t="s">
        <v>84</v>
      </c>
      <c r="F3" s="5" t="s">
        <v>65</v>
      </c>
      <c r="G3" s="5" t="s">
        <v>76</v>
      </c>
      <c r="H3" s="5" t="s">
        <v>78</v>
      </c>
      <c r="I3" s="5" t="s">
        <v>86</v>
      </c>
      <c r="J3" s="5" t="s">
        <v>80</v>
      </c>
      <c r="K3" s="5" t="s">
        <v>87</v>
      </c>
    </row>
    <row r="4" ht="43.5" customHeight="1">
      <c r="A4" s="5" t="s">
        <v>88</v>
      </c>
      <c r="B4" s="5" t="s">
        <v>73</v>
      </c>
      <c r="C4" s="5" t="s">
        <v>74</v>
      </c>
      <c r="D4" s="5" t="s">
        <v>90</v>
      </c>
      <c r="E4" s="5" t="s">
        <v>92</v>
      </c>
      <c r="F4" s="5" t="s">
        <v>65</v>
      </c>
      <c r="G4" s="5" t="s">
        <v>76</v>
      </c>
      <c r="H4" s="5" t="s">
        <v>78</v>
      </c>
      <c r="I4" s="5" t="s">
        <v>95</v>
      </c>
      <c r="J4" s="5" t="s">
        <v>80</v>
      </c>
      <c r="K4" s="5" t="s">
        <v>97</v>
      </c>
    </row>
    <row r="5" ht="43.5" customHeight="1">
      <c r="A5" s="5" t="s">
        <v>88</v>
      </c>
      <c r="B5" s="5" t="s">
        <v>82</v>
      </c>
      <c r="C5" s="5" t="s">
        <v>83</v>
      </c>
      <c r="D5" s="5" t="s">
        <v>98</v>
      </c>
      <c r="E5" s="5" t="s">
        <v>100</v>
      </c>
      <c r="F5" s="5" t="s">
        <v>65</v>
      </c>
      <c r="G5" s="5" t="s">
        <v>76</v>
      </c>
      <c r="H5" s="5" t="s">
        <v>78</v>
      </c>
      <c r="I5" s="5" t="s">
        <v>101</v>
      </c>
      <c r="J5" s="5" t="s">
        <v>80</v>
      </c>
      <c r="K5" s="5" t="s">
        <v>102</v>
      </c>
    </row>
    <row r="6" ht="43.5" customHeight="1">
      <c r="A6" s="5" t="s">
        <v>88</v>
      </c>
      <c r="B6" s="5" t="s">
        <v>99</v>
      </c>
      <c r="C6" s="5" t="s">
        <v>103</v>
      </c>
      <c r="D6" s="5" t="s">
        <v>104</v>
      </c>
      <c r="E6" s="5" t="s">
        <v>105</v>
      </c>
      <c r="F6" s="5" t="s">
        <v>65</v>
      </c>
      <c r="G6" s="5" t="s">
        <v>76</v>
      </c>
      <c r="H6" s="5" t="s">
        <v>107</v>
      </c>
      <c r="I6" s="5" t="s">
        <v>108</v>
      </c>
      <c r="J6" s="5" t="s">
        <v>80</v>
      </c>
      <c r="K6" s="5" t="s">
        <v>109</v>
      </c>
    </row>
    <row r="7" ht="43.5" customHeight="1">
      <c r="A7" s="5" t="s">
        <v>88</v>
      </c>
      <c r="B7" s="5" t="s">
        <v>110</v>
      </c>
      <c r="C7" s="5" t="s">
        <v>111</v>
      </c>
      <c r="D7" s="5" t="s">
        <v>112</v>
      </c>
      <c r="E7" s="5" t="s">
        <v>113</v>
      </c>
      <c r="F7" s="5" t="s">
        <v>65</v>
      </c>
      <c r="G7" s="5" t="s">
        <v>76</v>
      </c>
      <c r="H7" s="5" t="s">
        <v>78</v>
      </c>
      <c r="I7" s="5" t="s">
        <v>115</v>
      </c>
      <c r="J7" s="5" t="s">
        <v>80</v>
      </c>
      <c r="K7" s="5" t="s">
        <v>116</v>
      </c>
    </row>
    <row r="8" ht="43.5" customHeight="1">
      <c r="A8" s="5" t="s">
        <v>117</v>
      </c>
      <c r="B8" s="5" t="s">
        <v>73</v>
      </c>
      <c r="C8" s="5" t="s">
        <v>74</v>
      </c>
      <c r="D8" s="5" t="s">
        <v>90</v>
      </c>
      <c r="E8" s="5" t="s">
        <v>92</v>
      </c>
      <c r="F8" s="5" t="s">
        <v>65</v>
      </c>
      <c r="G8" s="5" t="s">
        <v>76</v>
      </c>
      <c r="H8" s="5" t="s">
        <v>78</v>
      </c>
      <c r="I8" s="5" t="s">
        <v>95</v>
      </c>
      <c r="J8" s="5" t="s">
        <v>80</v>
      </c>
      <c r="K8" s="5" t="s">
        <v>119</v>
      </c>
    </row>
    <row r="9" ht="43.5" customHeight="1">
      <c r="A9" s="5" t="s">
        <v>117</v>
      </c>
      <c r="B9" s="5" t="s">
        <v>82</v>
      </c>
      <c r="C9" s="5" t="s">
        <v>83</v>
      </c>
      <c r="D9" s="5" t="s">
        <v>98</v>
      </c>
      <c r="E9" s="5" t="s">
        <v>100</v>
      </c>
      <c r="F9" s="5" t="s">
        <v>65</v>
      </c>
      <c r="G9" s="5" t="s">
        <v>76</v>
      </c>
      <c r="H9" s="5" t="s">
        <v>78</v>
      </c>
      <c r="I9" s="5" t="s">
        <v>101</v>
      </c>
      <c r="J9" s="5" t="s">
        <v>80</v>
      </c>
      <c r="K9" s="5" t="s">
        <v>123</v>
      </c>
    </row>
    <row r="10" ht="43.5" customHeight="1">
      <c r="A10" s="5" t="s">
        <v>117</v>
      </c>
      <c r="B10" s="5" t="s">
        <v>99</v>
      </c>
      <c r="C10" s="5" t="s">
        <v>103</v>
      </c>
      <c r="D10" s="5" t="s">
        <v>104</v>
      </c>
      <c r="E10" s="5" t="s">
        <v>105</v>
      </c>
      <c r="F10" s="5" t="s">
        <v>65</v>
      </c>
      <c r="G10" s="5" t="s">
        <v>76</v>
      </c>
      <c r="H10" s="5" t="s">
        <v>107</v>
      </c>
      <c r="I10" s="5" t="s">
        <v>108</v>
      </c>
      <c r="J10" s="5" t="s">
        <v>80</v>
      </c>
      <c r="K10" s="5" t="s">
        <v>124</v>
      </c>
    </row>
    <row r="11" ht="43.5" customHeight="1">
      <c r="A11" s="5" t="s">
        <v>117</v>
      </c>
      <c r="B11" s="5" t="s">
        <v>110</v>
      </c>
      <c r="C11" s="5" t="s">
        <v>111</v>
      </c>
      <c r="D11" s="5" t="s">
        <v>112</v>
      </c>
      <c r="E11" s="5" t="s">
        <v>113</v>
      </c>
      <c r="F11" s="5" t="s">
        <v>65</v>
      </c>
      <c r="G11" s="5" t="s">
        <v>76</v>
      </c>
      <c r="H11" s="5" t="s">
        <v>78</v>
      </c>
      <c r="I11" s="5" t="s">
        <v>115</v>
      </c>
      <c r="J11" s="5" t="s">
        <v>80</v>
      </c>
      <c r="K11" s="5" t="s">
        <v>125</v>
      </c>
    </row>
    <row r="12" ht="43.5" customHeight="1">
      <c r="A12" s="5" t="s">
        <v>126</v>
      </c>
      <c r="B12" s="5" t="s">
        <v>73</v>
      </c>
      <c r="C12" s="5" t="s">
        <v>74</v>
      </c>
      <c r="D12" s="5" t="s">
        <v>90</v>
      </c>
      <c r="E12" s="5" t="s">
        <v>92</v>
      </c>
      <c r="F12" s="5" t="s">
        <v>127</v>
      </c>
      <c r="G12" s="5" t="s">
        <v>128</v>
      </c>
      <c r="H12" s="5" t="s">
        <v>78</v>
      </c>
      <c r="I12" s="5" t="s">
        <v>95</v>
      </c>
      <c r="J12" s="5" t="s">
        <v>129</v>
      </c>
      <c r="K12" s="5" t="s">
        <v>130</v>
      </c>
    </row>
    <row r="13" ht="43.5" customHeight="1">
      <c r="A13" s="5" t="s">
        <v>126</v>
      </c>
      <c r="B13" s="5" t="s">
        <v>82</v>
      </c>
      <c r="C13" s="5" t="s">
        <v>83</v>
      </c>
      <c r="D13" s="5" t="s">
        <v>98</v>
      </c>
      <c r="E13" s="5" t="s">
        <v>100</v>
      </c>
      <c r="F13" s="5" t="s">
        <v>127</v>
      </c>
      <c r="G13" s="5" t="s">
        <v>131</v>
      </c>
      <c r="H13" s="5" t="s">
        <v>78</v>
      </c>
      <c r="I13" s="5" t="s">
        <v>101</v>
      </c>
      <c r="J13" s="5" t="s">
        <v>129</v>
      </c>
      <c r="K13" s="5" t="s">
        <v>132</v>
      </c>
    </row>
    <row r="14" ht="43.5" customHeight="1">
      <c r="A14" s="5" t="s">
        <v>126</v>
      </c>
      <c r="B14" s="5" t="s">
        <v>89</v>
      </c>
      <c r="C14" s="5" t="s">
        <v>91</v>
      </c>
      <c r="D14" s="5" t="s">
        <v>122</v>
      </c>
      <c r="E14" s="5" t="s">
        <v>133</v>
      </c>
      <c r="F14" s="5" t="s">
        <v>127</v>
      </c>
      <c r="G14" s="5" t="s">
        <v>135</v>
      </c>
      <c r="H14" s="5" t="s">
        <v>78</v>
      </c>
      <c r="I14" s="5" t="s">
        <v>136</v>
      </c>
      <c r="J14" s="5" t="s">
        <v>129</v>
      </c>
      <c r="K14" s="5" t="s">
        <v>137</v>
      </c>
    </row>
    <row r="15" ht="43.5" customHeight="1">
      <c r="A15" s="5" t="s">
        <v>126</v>
      </c>
      <c r="B15" s="5" t="s">
        <v>99</v>
      </c>
      <c r="C15" s="5" t="s">
        <v>103</v>
      </c>
      <c r="D15" s="5" t="s">
        <v>104</v>
      </c>
      <c r="E15" s="5" t="s">
        <v>105</v>
      </c>
      <c r="F15" s="5" t="s">
        <v>127</v>
      </c>
      <c r="G15" s="5" t="s">
        <v>138</v>
      </c>
      <c r="H15" s="5" t="s">
        <v>107</v>
      </c>
      <c r="I15" s="5" t="s">
        <v>108</v>
      </c>
      <c r="J15" s="5" t="s">
        <v>129</v>
      </c>
      <c r="K15" s="5" t="s">
        <v>139</v>
      </c>
    </row>
    <row r="16" ht="43.5" customHeight="1">
      <c r="A16" s="5" t="s">
        <v>126</v>
      </c>
      <c r="B16" s="5" t="s">
        <v>110</v>
      </c>
      <c r="C16" s="5" t="s">
        <v>111</v>
      </c>
      <c r="D16" s="5" t="s">
        <v>112</v>
      </c>
      <c r="E16" s="5" t="s">
        <v>113</v>
      </c>
      <c r="F16" s="5" t="s">
        <v>127</v>
      </c>
      <c r="G16" s="5" t="s">
        <v>140</v>
      </c>
      <c r="H16" s="5" t="s">
        <v>78</v>
      </c>
      <c r="I16" s="5" t="s">
        <v>115</v>
      </c>
      <c r="J16" s="5" t="s">
        <v>129</v>
      </c>
      <c r="K16" s="5" t="s">
        <v>141</v>
      </c>
    </row>
    <row r="17" ht="43.5" customHeight="1">
      <c r="A17" s="5" t="s">
        <v>142</v>
      </c>
      <c r="B17" s="5" t="s">
        <v>47</v>
      </c>
      <c r="C17" s="5" t="s">
        <v>51</v>
      </c>
      <c r="D17" s="5" t="s">
        <v>54</v>
      </c>
      <c r="E17" s="5" t="s">
        <v>71</v>
      </c>
      <c r="F17" s="5" t="s">
        <v>65</v>
      </c>
      <c r="G17" s="5" t="s">
        <v>144</v>
      </c>
      <c r="H17" s="5" t="s">
        <v>78</v>
      </c>
      <c r="I17" s="5" t="s">
        <v>79</v>
      </c>
      <c r="J17" s="5" t="s">
        <v>129</v>
      </c>
      <c r="K17" s="5" t="s">
        <v>145</v>
      </c>
    </row>
    <row r="18" ht="43.5" customHeight="1">
      <c r="A18" s="5" t="s">
        <v>142</v>
      </c>
      <c r="B18" s="5" t="s">
        <v>68</v>
      </c>
      <c r="C18" s="5" t="s">
        <v>69</v>
      </c>
      <c r="D18" s="5" t="s">
        <v>75</v>
      </c>
      <c r="E18" s="5" t="s">
        <v>84</v>
      </c>
      <c r="F18" s="5" t="s">
        <v>65</v>
      </c>
      <c r="G18" s="5" t="s">
        <v>144</v>
      </c>
      <c r="H18" s="5" t="s">
        <v>78</v>
      </c>
      <c r="I18" s="5" t="s">
        <v>86</v>
      </c>
      <c r="J18" s="5" t="s">
        <v>129</v>
      </c>
      <c r="K18" s="5" t="s">
        <v>146</v>
      </c>
    </row>
    <row r="19" ht="43.5" customHeight="1">
      <c r="A19" s="5" t="s">
        <v>142</v>
      </c>
      <c r="B19" s="5" t="s">
        <v>47</v>
      </c>
      <c r="C19" s="5" t="s">
        <v>51</v>
      </c>
      <c r="D19" s="5" t="s">
        <v>54</v>
      </c>
      <c r="E19" s="5" t="s">
        <v>71</v>
      </c>
      <c r="F19" s="5" t="s">
        <v>65</v>
      </c>
      <c r="G19" s="5" t="s">
        <v>144</v>
      </c>
      <c r="H19" s="5" t="s">
        <v>78</v>
      </c>
      <c r="I19" s="5" t="s">
        <v>79</v>
      </c>
      <c r="J19" s="5" t="s">
        <v>129</v>
      </c>
      <c r="K19" s="5" t="s">
        <v>148</v>
      </c>
    </row>
    <row r="20" ht="43.5" customHeight="1">
      <c r="A20" s="5" t="s">
        <v>142</v>
      </c>
      <c r="B20" s="5" t="s">
        <v>68</v>
      </c>
      <c r="C20" s="5" t="s">
        <v>69</v>
      </c>
      <c r="D20" s="5" t="s">
        <v>75</v>
      </c>
      <c r="E20" s="5" t="s">
        <v>84</v>
      </c>
      <c r="F20" s="5" t="s">
        <v>65</v>
      </c>
      <c r="G20" s="5" t="s">
        <v>144</v>
      </c>
      <c r="H20" s="5" t="s">
        <v>78</v>
      </c>
      <c r="I20" s="5" t="s">
        <v>86</v>
      </c>
      <c r="J20" s="5" t="s">
        <v>129</v>
      </c>
      <c r="K20" s="5" t="s">
        <v>151</v>
      </c>
    </row>
    <row r="21" ht="43.5" customHeight="1">
      <c r="A21" s="5" t="s">
        <v>142</v>
      </c>
      <c r="B21" s="5" t="s">
        <v>47</v>
      </c>
      <c r="C21" s="5" t="s">
        <v>51</v>
      </c>
      <c r="D21" s="5" t="s">
        <v>54</v>
      </c>
      <c r="E21" s="5" t="s">
        <v>71</v>
      </c>
      <c r="F21" s="5" t="s">
        <v>65</v>
      </c>
      <c r="G21" s="5" t="s">
        <v>144</v>
      </c>
      <c r="H21" s="5" t="s">
        <v>78</v>
      </c>
      <c r="I21" s="5" t="s">
        <v>79</v>
      </c>
      <c r="J21" s="5" t="s">
        <v>129</v>
      </c>
      <c r="K21" s="5" t="s">
        <v>152</v>
      </c>
    </row>
    <row r="22" ht="43.5" customHeight="1">
      <c r="A22" s="5" t="s">
        <v>142</v>
      </c>
      <c r="B22" s="5" t="s">
        <v>68</v>
      </c>
      <c r="C22" s="5" t="s">
        <v>69</v>
      </c>
      <c r="D22" s="5" t="s">
        <v>75</v>
      </c>
      <c r="E22" s="5" t="s">
        <v>84</v>
      </c>
      <c r="F22" s="5" t="s">
        <v>65</v>
      </c>
      <c r="G22" s="5" t="s">
        <v>144</v>
      </c>
      <c r="H22" s="5" t="s">
        <v>78</v>
      </c>
      <c r="I22" s="5" t="s">
        <v>86</v>
      </c>
      <c r="J22" s="5" t="s">
        <v>129</v>
      </c>
      <c r="K22" s="5" t="s">
        <v>155</v>
      </c>
    </row>
    <row r="23" ht="43.5" customHeight="1">
      <c r="A23" s="5" t="s">
        <v>142</v>
      </c>
      <c r="B23" s="5" t="s">
        <v>47</v>
      </c>
      <c r="C23" s="5" t="s">
        <v>51</v>
      </c>
      <c r="D23" s="5" t="s">
        <v>54</v>
      </c>
      <c r="E23" s="5" t="s">
        <v>71</v>
      </c>
      <c r="F23" s="5" t="s">
        <v>65</v>
      </c>
      <c r="G23" s="5" t="s">
        <v>144</v>
      </c>
      <c r="H23" s="5" t="s">
        <v>78</v>
      </c>
      <c r="I23" s="5" t="s">
        <v>79</v>
      </c>
      <c r="J23" s="5" t="s">
        <v>129</v>
      </c>
      <c r="K23" s="5" t="s">
        <v>156</v>
      </c>
    </row>
    <row r="24" ht="43.5" customHeight="1">
      <c r="A24" s="5" t="s">
        <v>142</v>
      </c>
      <c r="B24" s="5" t="s">
        <v>68</v>
      </c>
      <c r="C24" s="5" t="s">
        <v>69</v>
      </c>
      <c r="D24" s="5" t="s">
        <v>75</v>
      </c>
      <c r="E24" s="5" t="s">
        <v>84</v>
      </c>
      <c r="F24" s="5" t="s">
        <v>65</v>
      </c>
      <c r="G24" s="5" t="s">
        <v>144</v>
      </c>
      <c r="H24" s="5" t="s">
        <v>78</v>
      </c>
      <c r="I24" s="5" t="s">
        <v>86</v>
      </c>
      <c r="J24" s="5" t="s">
        <v>129</v>
      </c>
      <c r="K24" s="5" t="s">
        <v>157</v>
      </c>
    </row>
    <row r="25" ht="43.5" customHeight="1">
      <c r="A25" s="5" t="s">
        <v>158</v>
      </c>
      <c r="B25" s="5" t="s">
        <v>47</v>
      </c>
      <c r="C25" s="5" t="s">
        <v>51</v>
      </c>
      <c r="D25" s="5" t="s">
        <v>54</v>
      </c>
      <c r="E25" s="5" t="s">
        <v>71</v>
      </c>
      <c r="F25" s="5" t="s">
        <v>65</v>
      </c>
      <c r="G25" s="5" t="s">
        <v>161</v>
      </c>
      <c r="H25" s="5" t="s">
        <v>78</v>
      </c>
      <c r="I25" s="5" t="s">
        <v>79</v>
      </c>
      <c r="J25" s="5" t="s">
        <v>162</v>
      </c>
      <c r="K25" s="5" t="s">
        <v>164</v>
      </c>
    </row>
    <row r="26" ht="43.5" customHeight="1">
      <c r="A26" s="5" t="s">
        <v>158</v>
      </c>
      <c r="B26" s="5" t="s">
        <v>68</v>
      </c>
      <c r="C26" s="5" t="s">
        <v>69</v>
      </c>
      <c r="D26" s="5" t="s">
        <v>75</v>
      </c>
      <c r="E26" s="5" t="s">
        <v>84</v>
      </c>
      <c r="F26" s="5" t="s">
        <v>65</v>
      </c>
      <c r="G26" s="5" t="s">
        <v>161</v>
      </c>
      <c r="H26" s="5" t="s">
        <v>78</v>
      </c>
      <c r="I26" s="5" t="s">
        <v>86</v>
      </c>
      <c r="J26" s="5" t="s">
        <v>162</v>
      </c>
      <c r="K26" s="5" t="s">
        <v>166</v>
      </c>
    </row>
    <row r="27" ht="43.5" customHeight="1">
      <c r="A27" s="5" t="s">
        <v>158</v>
      </c>
      <c r="B27" s="5" t="s">
        <v>73</v>
      </c>
      <c r="C27" s="5" t="s">
        <v>74</v>
      </c>
      <c r="D27" s="5" t="s">
        <v>90</v>
      </c>
      <c r="E27" s="5" t="s">
        <v>92</v>
      </c>
      <c r="F27" s="5" t="s">
        <v>167</v>
      </c>
      <c r="G27" s="5" t="s">
        <v>169</v>
      </c>
      <c r="H27" s="5" t="s">
        <v>78</v>
      </c>
      <c r="I27" s="5" t="s">
        <v>95</v>
      </c>
      <c r="J27" s="5" t="s">
        <v>162</v>
      </c>
      <c r="K27" s="5" t="s">
        <v>170</v>
      </c>
    </row>
    <row r="28" ht="43.5" customHeight="1">
      <c r="A28" s="5" t="s">
        <v>158</v>
      </c>
      <c r="B28" s="5" t="s">
        <v>82</v>
      </c>
      <c r="C28" s="5" t="s">
        <v>83</v>
      </c>
      <c r="D28" s="5" t="s">
        <v>98</v>
      </c>
      <c r="E28" s="5" t="s">
        <v>100</v>
      </c>
      <c r="F28" s="5" t="s">
        <v>167</v>
      </c>
      <c r="G28" s="5" t="s">
        <v>174</v>
      </c>
      <c r="H28" s="5" t="s">
        <v>78</v>
      </c>
      <c r="I28" s="5" t="s">
        <v>101</v>
      </c>
      <c r="J28" s="5" t="s">
        <v>162</v>
      </c>
      <c r="K28" s="5" t="s">
        <v>175</v>
      </c>
    </row>
    <row r="29" ht="43.5" customHeight="1">
      <c r="A29" s="5" t="s">
        <v>158</v>
      </c>
      <c r="B29" s="5" t="s">
        <v>89</v>
      </c>
      <c r="C29" s="5" t="s">
        <v>91</v>
      </c>
      <c r="D29" s="5" t="s">
        <v>122</v>
      </c>
      <c r="E29" s="5" t="s">
        <v>133</v>
      </c>
      <c r="F29" s="5" t="s">
        <v>176</v>
      </c>
      <c r="G29" s="5" t="s">
        <v>177</v>
      </c>
      <c r="H29" s="5" t="s">
        <v>78</v>
      </c>
      <c r="I29" s="5" t="s">
        <v>136</v>
      </c>
      <c r="J29" s="5" t="s">
        <v>162</v>
      </c>
      <c r="K29" s="5" t="s">
        <v>178</v>
      </c>
    </row>
    <row r="30" ht="43.5" customHeight="1">
      <c r="A30" s="5" t="s">
        <v>158</v>
      </c>
      <c r="B30" s="5" t="s">
        <v>99</v>
      </c>
      <c r="C30" s="5" t="s">
        <v>103</v>
      </c>
      <c r="D30" s="5" t="s">
        <v>104</v>
      </c>
      <c r="E30" s="5" t="s">
        <v>105</v>
      </c>
      <c r="F30" s="5" t="s">
        <v>176</v>
      </c>
      <c r="G30" s="5" t="s">
        <v>181</v>
      </c>
      <c r="H30" s="5" t="s">
        <v>107</v>
      </c>
      <c r="I30" s="5" t="s">
        <v>108</v>
      </c>
      <c r="J30" s="5" t="s">
        <v>162</v>
      </c>
      <c r="K30" s="5" t="s">
        <v>183</v>
      </c>
    </row>
    <row r="31" ht="43.5" customHeight="1">
      <c r="A31" s="5" t="s">
        <v>158</v>
      </c>
      <c r="B31" s="5" t="s">
        <v>110</v>
      </c>
      <c r="C31" s="5" t="s">
        <v>111</v>
      </c>
      <c r="D31" s="5" t="s">
        <v>112</v>
      </c>
      <c r="E31" s="5" t="s">
        <v>113</v>
      </c>
      <c r="F31" s="5" t="s">
        <v>176</v>
      </c>
      <c r="G31" s="5" t="s">
        <v>185</v>
      </c>
      <c r="H31" s="5" t="s">
        <v>78</v>
      </c>
      <c r="I31" s="5" t="s">
        <v>115</v>
      </c>
      <c r="J31" s="5" t="s">
        <v>162</v>
      </c>
      <c r="K31" s="5" t="s">
        <v>186</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2.0"/>
    <col customWidth="1" min="3" max="4" width="27.0"/>
    <col customWidth="1" min="5" max="5" width="60.0"/>
    <col customWidth="1" min="6" max="26" width="8.63"/>
  </cols>
  <sheetData>
    <row r="1" ht="43.5" customHeight="1">
      <c r="A1" s="1" t="s">
        <v>1</v>
      </c>
      <c r="B1" s="1" t="s">
        <v>11</v>
      </c>
      <c r="C1" s="1" t="s">
        <v>38</v>
      </c>
      <c r="D1" s="1" t="s">
        <v>41</v>
      </c>
      <c r="E1" s="1" t="s">
        <v>44</v>
      </c>
    </row>
    <row r="2" ht="31.5" customHeight="1">
      <c r="A2" s="2" t="s">
        <v>47</v>
      </c>
      <c r="B2" s="2" t="s">
        <v>51</v>
      </c>
      <c r="C2" s="2" t="s">
        <v>65</v>
      </c>
      <c r="D2" s="2" t="s">
        <v>65</v>
      </c>
      <c r="E2" s="2" t="s">
        <v>67</v>
      </c>
    </row>
    <row r="3" ht="31.5" customHeight="1">
      <c r="A3" s="2" t="s">
        <v>68</v>
      </c>
      <c r="B3" s="2" t="s">
        <v>69</v>
      </c>
      <c r="C3" s="2" t="s">
        <v>65</v>
      </c>
      <c r="D3" s="2" t="s">
        <v>65</v>
      </c>
      <c r="E3" s="2" t="s">
        <v>67</v>
      </c>
    </row>
    <row r="4" ht="31.5" customHeight="1">
      <c r="A4" s="2" t="s">
        <v>73</v>
      </c>
      <c r="B4" s="2" t="s">
        <v>74</v>
      </c>
      <c r="C4" s="2" t="s">
        <v>65</v>
      </c>
      <c r="D4" s="2" t="s">
        <v>77</v>
      </c>
      <c r="E4" s="2" t="s">
        <v>67</v>
      </c>
    </row>
    <row r="5" ht="31.5" customHeight="1">
      <c r="A5" s="2" t="s">
        <v>82</v>
      </c>
      <c r="B5" s="2" t="s">
        <v>83</v>
      </c>
      <c r="C5" s="2" t="s">
        <v>65</v>
      </c>
      <c r="D5" s="2" t="s">
        <v>85</v>
      </c>
      <c r="E5" s="2" t="s">
        <v>67</v>
      </c>
    </row>
    <row r="6" ht="31.5" customHeight="1">
      <c r="A6" s="2" t="s">
        <v>89</v>
      </c>
      <c r="B6" s="2" t="s">
        <v>91</v>
      </c>
      <c r="C6" s="2" t="s">
        <v>94</v>
      </c>
      <c r="D6" s="2" t="s">
        <v>96</v>
      </c>
      <c r="E6" s="2" t="s">
        <v>67</v>
      </c>
    </row>
    <row r="7" ht="31.5" customHeight="1">
      <c r="A7" s="2" t="s">
        <v>99</v>
      </c>
      <c r="B7" s="2" t="s">
        <v>103</v>
      </c>
      <c r="C7" s="2" t="s">
        <v>65</v>
      </c>
      <c r="D7" s="2" t="s">
        <v>118</v>
      </c>
      <c r="E7" s="2" t="s">
        <v>67</v>
      </c>
    </row>
    <row r="8" ht="31.5" customHeight="1">
      <c r="A8" s="2" t="s">
        <v>110</v>
      </c>
      <c r="B8" s="2" t="s">
        <v>111</v>
      </c>
      <c r="C8" s="2" t="s">
        <v>65</v>
      </c>
      <c r="D8" s="2" t="s">
        <v>121</v>
      </c>
      <c r="E8" s="2"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0"/>
    <col customWidth="1" min="2" max="2" width="27.0"/>
    <col customWidth="1" min="3" max="3" width="76.0"/>
    <col customWidth="1" min="4" max="26" width="8.63"/>
  </cols>
  <sheetData>
    <row r="1" ht="43.5" customHeight="1">
      <c r="A1" s="1" t="s">
        <v>215</v>
      </c>
      <c r="B1" s="1" t="s">
        <v>217</v>
      </c>
      <c r="C1" s="1" t="s">
        <v>218</v>
      </c>
    </row>
    <row r="2" ht="42.0" customHeight="1">
      <c r="A2" s="2" t="s">
        <v>221</v>
      </c>
      <c r="B2" s="6">
        <v>660.0</v>
      </c>
      <c r="C2" s="2" t="s">
        <v>225</v>
      </c>
    </row>
    <row r="3" ht="42.0" customHeight="1">
      <c r="A3" s="2" t="s">
        <v>227</v>
      </c>
      <c r="B3" s="7">
        <v>0.2</v>
      </c>
      <c r="C3" s="2" t="s">
        <v>229</v>
      </c>
    </row>
    <row r="4" ht="42.0" customHeight="1">
      <c r="A4" s="2" t="s">
        <v>230</v>
      </c>
      <c r="B4" s="6">
        <v>45.0</v>
      </c>
      <c r="C4" s="2" t="s">
        <v>231</v>
      </c>
    </row>
    <row r="5" ht="42.0" customHeight="1">
      <c r="A5" s="2" t="s">
        <v>233</v>
      </c>
      <c r="B5" s="6">
        <v>10.0</v>
      </c>
      <c r="C5" s="2" t="s">
        <v>234</v>
      </c>
    </row>
    <row r="6" ht="42.0" customHeight="1">
      <c r="A6" s="2" t="s">
        <v>236</v>
      </c>
      <c r="B6" s="6">
        <v>15.0</v>
      </c>
      <c r="C6" s="2" t="s">
        <v>238</v>
      </c>
    </row>
    <row r="7" ht="42.0" customHeight="1">
      <c r="A7" s="2" t="s">
        <v>240</v>
      </c>
      <c r="B7" s="6">
        <v>10.0</v>
      </c>
      <c r="C7" s="2" t="s">
        <v>241</v>
      </c>
    </row>
    <row r="8" ht="42.0" customHeight="1">
      <c r="A8" s="2" t="s">
        <v>242</v>
      </c>
      <c r="B8" s="6">
        <v>24.0</v>
      </c>
      <c r="C8" s="2" t="s">
        <v>243</v>
      </c>
    </row>
    <row r="9" ht="42.0" customHeight="1">
      <c r="A9" s="2" t="s">
        <v>244</v>
      </c>
      <c r="B9" s="6">
        <v>4.0</v>
      </c>
      <c r="C9" s="2" t="s">
        <v>245</v>
      </c>
    </row>
    <row r="10" ht="42.0" customHeight="1">
      <c r="A10" s="2" t="s">
        <v>246</v>
      </c>
      <c r="B10" s="6">
        <v>1.0</v>
      </c>
      <c r="C10" s="2" t="s">
        <v>247</v>
      </c>
    </row>
    <row r="11" ht="42.0" customHeight="1">
      <c r="A11" s="2" t="s">
        <v>249</v>
      </c>
      <c r="B11" s="6">
        <v>0.0</v>
      </c>
      <c r="C11" s="2" t="s">
        <v>251</v>
      </c>
    </row>
    <row r="12" ht="42.0" customHeight="1">
      <c r="A12" s="2" t="s">
        <v>252</v>
      </c>
      <c r="B12" s="8">
        <f>(B2*B4/60+B2*B3*B7)/60*B8</f>
        <v>726</v>
      </c>
      <c r="C12" s="2" t="s">
        <v>268</v>
      </c>
    </row>
    <row r="13" ht="42.0" customHeight="1">
      <c r="A13" s="2" t="s">
        <v>270</v>
      </c>
      <c r="B13" s="8">
        <f>(B2*(1-B3)*B5/60+B2*B3*B4/60+B2*B3*B7+B2*B3*B6/60)/60*B8</f>
        <v>616</v>
      </c>
      <c r="C13" s="2" t="s">
        <v>277</v>
      </c>
    </row>
    <row r="14" ht="42.0" customHeight="1">
      <c r="A14" s="2" t="s">
        <v>279</v>
      </c>
      <c r="B14" s="8">
        <f>B10*B8+B11</f>
        <v>24</v>
      </c>
      <c r="C14" s="2" t="s">
        <v>281</v>
      </c>
    </row>
    <row r="15" ht="42.0" customHeight="1">
      <c r="A15" s="2" t="s">
        <v>283</v>
      </c>
      <c r="B15" s="8">
        <f>B12-B13-B14</f>
        <v>86</v>
      </c>
      <c r="C15" s="2" t="s">
        <v>287</v>
      </c>
    </row>
    <row r="16" ht="42.0" customHeight="1">
      <c r="A16" s="2" t="s">
        <v>289</v>
      </c>
      <c r="B16" s="8">
        <f>B9*B8</f>
        <v>96</v>
      </c>
      <c r="C16" s="2" t="s">
        <v>293</v>
      </c>
    </row>
    <row r="17" ht="42.0" customHeight="1">
      <c r="A17" s="2" t="s">
        <v>294</v>
      </c>
      <c r="B17" s="9">
        <f>IF(B15&gt;0,B16/B15,"No positive payback")</f>
        <v>1.11627907</v>
      </c>
      <c r="C17" s="2" t="s">
        <v>303</v>
      </c>
    </row>
    <row r="18" ht="42.0" customHeight="1">
      <c r="A18" s="2" t="s">
        <v>304</v>
      </c>
      <c r="B18" s="2" t="s">
        <v>305</v>
      </c>
      <c r="C18" s="2" t="s">
        <v>306</v>
      </c>
    </row>
    <row r="19" ht="42.0" customHeight="1">
      <c r="A19" s="2" t="s">
        <v>307</v>
      </c>
      <c r="B19" s="2" t="s">
        <v>308</v>
      </c>
      <c r="C19" s="2" t="s">
        <v>309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