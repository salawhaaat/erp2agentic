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alansarieddine/Desktop/"/>
    </mc:Choice>
  </mc:AlternateContent>
  <xr:revisionPtr revIDLastSave="0" documentId="8_{0848E55B-2D76-444F-9BFF-A71126BCF294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Summary" sheetId="1" r:id="rId1"/>
    <sheet name="Customers" sheetId="2" r:id="rId2"/>
    <sheet name="MenuItems" sheetId="3" r:id="rId3"/>
    <sheet name="Availability" sheetId="4" r:id="rId4"/>
    <sheet name="Orders" sheetId="5" r:id="rId5"/>
    <sheet name="OrderLines" sheetId="6" r:id="rId6"/>
    <sheet name="KitchenRuns" sheetId="7" r:id="rId7"/>
    <sheet name="Payments" sheetId="8" r:id="rId8"/>
    <sheet name="Calculations" sheetId="9" r:id="rId9"/>
    <sheet name="Gui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9" l="1"/>
  <c r="A31" i="9"/>
  <c r="C30" i="9"/>
  <c r="A30" i="9"/>
  <c r="C29" i="9"/>
  <c r="A29" i="9"/>
  <c r="C28" i="9"/>
  <c r="A28" i="9"/>
  <c r="C27" i="9"/>
  <c r="A27" i="9"/>
  <c r="J26" i="9"/>
  <c r="H26" i="9"/>
  <c r="F26" i="9"/>
  <c r="G26" i="9" s="1"/>
  <c r="I26" i="9" s="1"/>
  <c r="D26" i="9"/>
  <c r="E26" i="9" s="1"/>
  <c r="C26" i="9"/>
  <c r="A26" i="9"/>
  <c r="B26" i="9" s="1"/>
  <c r="C25" i="9"/>
  <c r="A25" i="9"/>
  <c r="C24" i="9"/>
  <c r="A24" i="9"/>
  <c r="C23" i="9"/>
  <c r="A23" i="9"/>
  <c r="C22" i="9"/>
  <c r="A22" i="9"/>
  <c r="C21" i="9"/>
  <c r="A21" i="9"/>
  <c r="J20" i="9"/>
  <c r="H20" i="9"/>
  <c r="F20" i="9"/>
  <c r="G20" i="9" s="1"/>
  <c r="I20" i="9" s="1"/>
  <c r="D20" i="9"/>
  <c r="E20" i="9" s="1"/>
  <c r="C20" i="9"/>
  <c r="A20" i="9"/>
  <c r="B20" i="9" s="1"/>
  <c r="C19" i="9"/>
  <c r="A19" i="9"/>
  <c r="C18" i="9"/>
  <c r="A18" i="9"/>
  <c r="C17" i="9"/>
  <c r="A17" i="9"/>
  <c r="C16" i="9"/>
  <c r="A16" i="9"/>
  <c r="C15" i="9"/>
  <c r="A15" i="9"/>
  <c r="C14" i="9"/>
  <c r="A14" i="9"/>
  <c r="C13" i="9"/>
  <c r="A13" i="9"/>
  <c r="C12" i="9"/>
  <c r="A12" i="9"/>
  <c r="C11" i="9"/>
  <c r="A11" i="9"/>
  <c r="C10" i="9"/>
  <c r="A10" i="9"/>
  <c r="C9" i="9"/>
  <c r="A9" i="9"/>
  <c r="C8" i="9"/>
  <c r="A8" i="9"/>
  <c r="C7" i="9"/>
  <c r="A7" i="9"/>
  <c r="C6" i="9"/>
  <c r="A6" i="9"/>
  <c r="C5" i="9"/>
  <c r="A5" i="9"/>
  <c r="C4" i="9"/>
  <c r="A4" i="9"/>
  <c r="C3" i="9"/>
  <c r="A3" i="9"/>
  <c r="C2" i="9"/>
  <c r="A2" i="9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6" i="1"/>
  <c r="B3" i="1"/>
  <c r="J31" i="9" l="1"/>
  <c r="B31" i="9"/>
  <c r="D31" i="9"/>
  <c r="E31" i="9" s="1"/>
  <c r="F31" i="9"/>
  <c r="G31" i="9" s="1"/>
  <c r="I31" i="9" s="1"/>
  <c r="H31" i="9"/>
  <c r="B30" i="9"/>
  <c r="D30" i="9"/>
  <c r="E30" i="9" s="1"/>
  <c r="F30" i="9"/>
  <c r="G30" i="9" s="1"/>
  <c r="H30" i="9"/>
  <c r="J30" i="9"/>
  <c r="B29" i="9"/>
  <c r="D29" i="9"/>
  <c r="E29" i="9" s="1"/>
  <c r="F29" i="9"/>
  <c r="G29" i="9" s="1"/>
  <c r="H29" i="9"/>
  <c r="J29" i="9"/>
  <c r="J28" i="9"/>
  <c r="B28" i="9"/>
  <c r="D28" i="9"/>
  <c r="E28" i="9" s="1"/>
  <c r="F28" i="9"/>
  <c r="G28" i="9" s="1"/>
  <c r="H28" i="9"/>
  <c r="H27" i="9"/>
  <c r="F27" i="9"/>
  <c r="G27" i="9" s="1"/>
  <c r="I27" i="9" s="1"/>
  <c r="J27" i="9"/>
  <c r="D27" i="9"/>
  <c r="E27" i="9" s="1"/>
  <c r="B27" i="9"/>
  <c r="B25" i="9"/>
  <c r="J25" i="9"/>
  <c r="H25" i="9"/>
  <c r="F25" i="9"/>
  <c r="G25" i="9" s="1"/>
  <c r="D25" i="9"/>
  <c r="E25" i="9" s="1"/>
  <c r="F24" i="9"/>
  <c r="G24" i="9" s="1"/>
  <c r="B24" i="9"/>
  <c r="D24" i="9"/>
  <c r="E24" i="9" s="1"/>
  <c r="H24" i="9"/>
  <c r="J24" i="9"/>
  <c r="J23" i="9"/>
  <c r="H23" i="9"/>
  <c r="F23" i="9"/>
  <c r="G23" i="9" s="1"/>
  <c r="I23" i="9" s="1"/>
  <c r="D23" i="9"/>
  <c r="E23" i="9" s="1"/>
  <c r="B23" i="9"/>
  <c r="J22" i="9"/>
  <c r="B22" i="9"/>
  <c r="D22" i="9"/>
  <c r="E22" i="9" s="1"/>
  <c r="F22" i="9"/>
  <c r="G22" i="9" s="1"/>
  <c r="I22" i="9" s="1"/>
  <c r="H22" i="9"/>
  <c r="J21" i="9"/>
  <c r="B21" i="9"/>
  <c r="D21" i="9"/>
  <c r="E21" i="9" s="1"/>
  <c r="F21" i="9"/>
  <c r="G21" i="9" s="1"/>
  <c r="H21" i="9"/>
  <c r="J19" i="9"/>
  <c r="H19" i="9"/>
  <c r="F19" i="9"/>
  <c r="G19" i="9" s="1"/>
  <c r="I19" i="9" s="1"/>
  <c r="D19" i="9"/>
  <c r="E19" i="9" s="1"/>
  <c r="B19" i="9"/>
  <c r="J18" i="9"/>
  <c r="H18" i="9"/>
  <c r="F18" i="9"/>
  <c r="G18" i="9" s="1"/>
  <c r="I18" i="9" s="1"/>
  <c r="D18" i="9"/>
  <c r="E18" i="9" s="1"/>
  <c r="B18" i="9"/>
  <c r="J17" i="9"/>
  <c r="H17" i="9"/>
  <c r="F17" i="9"/>
  <c r="G17" i="9" s="1"/>
  <c r="I17" i="9" s="1"/>
  <c r="D17" i="9"/>
  <c r="E17" i="9" s="1"/>
  <c r="B17" i="9"/>
  <c r="H16" i="9"/>
  <c r="J16" i="9"/>
  <c r="B16" i="9"/>
  <c r="D16" i="9"/>
  <c r="E16" i="9" s="1"/>
  <c r="F16" i="9"/>
  <c r="G16" i="9" s="1"/>
  <c r="I16" i="9" s="1"/>
  <c r="F15" i="9"/>
  <c r="G15" i="9" s="1"/>
  <c r="J15" i="9"/>
  <c r="H15" i="9"/>
  <c r="B15" i="9"/>
  <c r="D15" i="9"/>
  <c r="E15" i="9" s="1"/>
  <c r="B14" i="9"/>
  <c r="D14" i="9"/>
  <c r="E14" i="9" s="1"/>
  <c r="F14" i="9"/>
  <c r="G14" i="9" s="1"/>
  <c r="J14" i="9"/>
  <c r="H14" i="9"/>
  <c r="B13" i="9"/>
  <c r="D13" i="9"/>
  <c r="E13" i="9" s="1"/>
  <c r="F13" i="9"/>
  <c r="G13" i="9" s="1"/>
  <c r="I13" i="9" s="1"/>
  <c r="H13" i="9"/>
  <c r="J13" i="9"/>
  <c r="B12" i="9"/>
  <c r="D12" i="9"/>
  <c r="E12" i="9" s="1"/>
  <c r="F12" i="9"/>
  <c r="G12" i="9" s="1"/>
  <c r="H12" i="9"/>
  <c r="J12" i="9"/>
  <c r="H11" i="9"/>
  <c r="J11" i="9"/>
  <c r="F11" i="9"/>
  <c r="G11" i="9" s="1"/>
  <c r="I11" i="9" s="1"/>
  <c r="D11" i="9"/>
  <c r="E11" i="9" s="1"/>
  <c r="B11" i="9"/>
  <c r="B10" i="9"/>
  <c r="J10" i="9"/>
  <c r="H10" i="9"/>
  <c r="F10" i="9"/>
  <c r="G10" i="9" s="1"/>
  <c r="I10" i="9" s="1"/>
  <c r="D10" i="9"/>
  <c r="E10" i="9" s="1"/>
  <c r="H9" i="9"/>
  <c r="J9" i="9"/>
  <c r="F9" i="9"/>
  <c r="G9" i="9" s="1"/>
  <c r="I9" i="9" s="1"/>
  <c r="D9" i="9"/>
  <c r="E9" i="9" s="1"/>
  <c r="B9" i="9"/>
  <c r="J8" i="9"/>
  <c r="H8" i="9"/>
  <c r="F8" i="9"/>
  <c r="G8" i="9" s="1"/>
  <c r="D8" i="9"/>
  <c r="E8" i="9" s="1"/>
  <c r="B8" i="9"/>
  <c r="J7" i="9"/>
  <c r="H7" i="9"/>
  <c r="F7" i="9"/>
  <c r="G7" i="9" s="1"/>
  <c r="D7" i="9"/>
  <c r="E7" i="9" s="1"/>
  <c r="B7" i="9"/>
  <c r="J6" i="9"/>
  <c r="B6" i="9"/>
  <c r="H6" i="9"/>
  <c r="F6" i="9"/>
  <c r="G6" i="9" s="1"/>
  <c r="I6" i="9" s="1"/>
  <c r="D6" i="9"/>
  <c r="E6" i="9" s="1"/>
  <c r="B5" i="9"/>
  <c r="D5" i="9"/>
  <c r="E5" i="9" s="1"/>
  <c r="F5" i="9"/>
  <c r="G5" i="9" s="1"/>
  <c r="H5" i="9"/>
  <c r="J5" i="9"/>
  <c r="B4" i="9"/>
  <c r="D4" i="9"/>
  <c r="E4" i="9" s="1"/>
  <c r="F4" i="9"/>
  <c r="G4" i="9" s="1"/>
  <c r="H4" i="9"/>
  <c r="J4" i="9"/>
  <c r="B3" i="9"/>
  <c r="D3" i="9"/>
  <c r="E3" i="9" s="1"/>
  <c r="F3" i="9"/>
  <c r="G3" i="9" s="1"/>
  <c r="H3" i="9"/>
  <c r="J3" i="9"/>
  <c r="D2" i="9"/>
  <c r="E2" i="9" s="1"/>
  <c r="B11" i="1" s="1"/>
  <c r="J2" i="9"/>
  <c r="H2" i="9"/>
  <c r="B9" i="1" s="1"/>
  <c r="F2" i="9"/>
  <c r="B2" i="9"/>
  <c r="G2" i="9" l="1"/>
  <c r="B7" i="1"/>
  <c r="I24" i="9"/>
  <c r="I15" i="9"/>
  <c r="I4" i="9"/>
  <c r="I12" i="9"/>
  <c r="I7" i="9"/>
  <c r="I5" i="9"/>
  <c r="B4" i="1"/>
  <c r="I29" i="9"/>
  <c r="I8" i="9"/>
  <c r="I3" i="9"/>
  <c r="I28" i="9"/>
  <c r="I14" i="9"/>
  <c r="I30" i="9"/>
  <c r="I21" i="9"/>
  <c r="I25" i="9"/>
  <c r="B13" i="1"/>
  <c r="I2" i="9" l="1"/>
  <c r="B8" i="1"/>
  <c r="B10" i="1" s="1"/>
  <c r="B12" i="1"/>
  <c r="B5" i="1"/>
</calcChain>
</file>

<file path=xl/sharedStrings.xml><?xml version="1.0" encoding="utf-8"?>
<sst xmlns="http://schemas.openxmlformats.org/spreadsheetml/2006/main" count="888" uniqueCount="372">
  <si>
    <t>Sweetgreen Lab 1 sandbox</t>
  </si>
  <si>
    <t>Value</t>
  </si>
  <si>
    <t>Definition</t>
  </si>
  <si>
    <t>Scenario</t>
  </si>
  <si>
    <t>Synthetic</t>
  </si>
  <si>
    <t>Gemini-generated source tables, 18 September 2026</t>
  </si>
  <si>
    <t>Orders</t>
  </si>
  <si>
    <t>All accepted orders</t>
  </si>
  <si>
    <t>Exception orders</t>
  </si>
  <si>
    <t>Orders with at least one BLOCKED kitchen attempt</t>
  </si>
  <si>
    <t>Exception rate</t>
  </si>
  <si>
    <t>Exception orders / total orders</t>
  </si>
  <si>
    <t>Availability mismatches</t>
  </si>
  <si>
    <t>Cached and current availability disagree</t>
  </si>
  <si>
    <t>Extra labor minutes</t>
  </si>
  <si>
    <t>Recovery effort across all kitchen attempts</t>
  </si>
  <si>
    <t>Labor value USD</t>
  </si>
  <si>
    <t>Minutes / 60 x assumed $24/hour</t>
  </si>
  <si>
    <t>Goodwill refunds USD</t>
  </si>
  <si>
    <t>Partial refunds on completed orders</t>
  </si>
  <si>
    <t>Modeled burden USD</t>
  </si>
  <si>
    <t>Labor capacity value plus refunds; excludes food waste</t>
  </si>
  <si>
    <t>Readiness late minutes</t>
  </si>
  <si>
    <t>Lateness summed across all orders, floored at zero</t>
  </si>
  <si>
    <t>Mean affected lateness</t>
  </si>
  <si>
    <t>Readiness lateness among exception orders</t>
  </si>
  <si>
    <t>Capture discrepancy USD</t>
  </si>
  <si>
    <t>Sum of absolute per-order capture-to-line differences</t>
  </si>
  <si>
    <t>Interpretation</t>
  </si>
  <si>
    <t>Illustrative</t>
  </si>
  <si>
    <t>Not measured Sweetgreen performance or guaranteed savings</t>
  </si>
  <si>
    <t>customer_id</t>
  </si>
  <si>
    <t>segment</t>
  </si>
  <si>
    <t>urgency</t>
  </si>
  <si>
    <t>restriction_note</t>
  </si>
  <si>
    <t>C001</t>
  </si>
  <si>
    <t>Student</t>
  </si>
  <si>
    <t>High</t>
  </si>
  <si>
    <t>None</t>
  </si>
  <si>
    <t>C002</t>
  </si>
  <si>
    <t>Faculty</t>
  </si>
  <si>
    <t>C003</t>
  </si>
  <si>
    <t>C004</t>
  </si>
  <si>
    <t>Staff</t>
  </si>
  <si>
    <t>Medium</t>
  </si>
  <si>
    <t>C005</t>
  </si>
  <si>
    <t>C006</t>
  </si>
  <si>
    <t>Low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</si>
  <si>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</si>
  <si>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</si>
  <si>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</si>
  <si>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</si>
  <si>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</si>
  <si>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</si>
  <si>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</si>
  <si>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</si>
  <si>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</si>
  <si>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</si>
  <si>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</si>
  <si>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</si>
  <si>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</si>
  <si>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</si>
  <si>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</si>
  <si>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</si>
  <si>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</si>
  <si>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</si>
  <si>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</si>
  <si>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</si>
  <si>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</si>
  <si>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</si>
  <si>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</si>
  <si>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</si>
  <si>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item_id</t>
  </si>
  <si>
    <t>item_name</t>
  </si>
  <si>
    <t>price</t>
  </si>
  <si>
    <t>M001</t>
  </si>
  <si>
    <t>Harvest Bowl</t>
  </si>
  <si>
    <t>M002</t>
  </si>
  <si>
    <t>Shroomami</t>
  </si>
  <si>
    <t>M003</t>
  </si>
  <si>
    <t>Hot Honey Chicken</t>
  </si>
  <si>
    <t>M004</t>
  </si>
  <si>
    <t>Kale Caesar</t>
  </si>
  <si>
    <t>M005</t>
  </si>
  <si>
    <t>Crispy Rice Bowl</t>
  </si>
  <si>
    <t>M006</t>
  </si>
  <si>
    <t>Guacamole Greens</t>
  </si>
  <si>
    <t>M007</t>
  </si>
  <si>
    <t>Fish Taco Bowl</t>
  </si>
  <si>
    <t>M008</t>
  </si>
  <si>
    <t>Super Green Goddess</t>
  </si>
  <si>
    <t>M009</t>
  </si>
  <si>
    <t>Chicken Avocado Ranch</t>
  </si>
  <si>
    <t>M010</t>
  </si>
  <si>
    <t>Hummus Tahina</t>
  </si>
  <si>
    <t>M011</t>
  </si>
  <si>
    <t>Peach Goat Cheese Salad</t>
  </si>
  <si>
    <t>M012</t>
  </si>
  <si>
    <t>Balsamic Chicken Bowl</t>
  </si>
  <si>
    <t>M013</t>
  </si>
  <si>
    <t>Spicy Green Bowl</t>
  </si>
  <si>
    <t>M014</t>
  </si>
  <si>
    <t>Garden Cobb</t>
  </si>
  <si>
    <t>M015</t>
  </si>
  <si>
    <t>Tofu Crunch Bowl</t>
  </si>
  <si>
    <t>M016</t>
  </si>
  <si>
    <t>Avocado Lime Bowl</t>
  </si>
  <si>
    <t>M017</t>
  </si>
  <si>
    <t>Summer Veggie Bowl</t>
  </si>
  <si>
    <t>M018</t>
  </si>
  <si>
    <t>Power Greens Bowl</t>
  </si>
  <si>
    <t>M019</t>
  </si>
  <si>
    <t>Ranch Roasted Chicken</t>
  </si>
  <si>
    <t>M020</t>
  </si>
  <si>
    <t>Mediterranean Bowl</t>
  </si>
  <si>
    <t>M021</t>
  </si>
  <si>
    <t>Sesame Tofu Bowl</t>
  </si>
  <si>
    <t>M022</t>
  </si>
  <si>
    <t>Sweet Potato Bowl</t>
  </si>
  <si>
    <t>M023</t>
  </si>
  <si>
    <t>Pesto Chicken Bowl</t>
  </si>
  <si>
    <t>M024</t>
  </si>
  <si>
    <t>Citrus Salmon Bowl</t>
  </si>
  <si>
    <t>snapshot_at</t>
  </si>
  <si>
    <t>snapshot_available</t>
  </si>
  <si>
    <t>current_at</t>
  </si>
  <si>
    <t>current_available</t>
  </si>
  <si>
    <t>Mismatch (derived)</t>
  </si>
  <si>
    <t>order_id</t>
  </si>
  <si>
    <t>accepted_at</t>
  </si>
  <si>
    <t>promised_at</t>
  </si>
  <si>
    <t>completed_at</t>
  </si>
  <si>
    <t>status</t>
  </si>
  <si>
    <t>O001</t>
  </si>
  <si>
    <t>COMPLETED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</si>
  <si>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</si>
  <si>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</si>
  <si>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</si>
  <si>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</si>
  <si>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</si>
  <si>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</si>
  <si>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</si>
  <si>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</si>
  <si>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</si>
  <si>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</si>
  <si>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</si>
  <si>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</si>
  <si>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</si>
  <si>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</si>
  <si>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</si>
  <si>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</si>
  <si>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</si>
  <si>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</si>
  <si>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</si>
  <si>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</si>
  <si>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</si>
  <si>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</si>
  <si>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</si>
  <si>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</si>
  <si>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</si>
  <si>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</si>
  <si>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</si>
  <si>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</si>
  <si>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</si>
  <si>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line_id</t>
  </si>
  <si>
    <t>qty</t>
  </si>
  <si>
    <t>unit_price</t>
  </si>
  <si>
    <t>final_item_id</t>
  </si>
  <si>
    <t>change_agreed_at</t>
  </si>
  <si>
    <t>consent</t>
  </si>
  <si>
    <t>Line total USD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</si>
  <si>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</si>
  <si>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</si>
  <si>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</si>
  <si>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</si>
  <si>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</si>
  <si>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</si>
  <si>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</si>
  <si>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</si>
  <si>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</si>
  <si>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</si>
  <si>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</si>
  <si>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</si>
  <si>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</si>
  <si>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</si>
  <si>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</si>
  <si>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</si>
  <si>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</si>
  <si>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</si>
  <si>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</si>
  <si>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</si>
  <si>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</si>
  <si>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</si>
  <si>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</si>
  <si>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</si>
  <si>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</si>
  <si>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</si>
  <si>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</si>
  <si>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</si>
  <si>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</si>
  <si>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</si>
  <si>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</si>
  <si>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</si>
  <si>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</si>
  <si>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</si>
  <si>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</si>
  <si>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</si>
  <si>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run_id</t>
  </si>
  <si>
    <t>attempt_no</t>
  </si>
  <si>
    <t>checked_at</t>
  </si>
  <si>
    <t>exception_id</t>
  </si>
  <si>
    <t>reason</t>
  </si>
  <si>
    <t>staff_role</t>
  </si>
  <si>
    <t>extra_labor_min</t>
  </si>
  <si>
    <t>prep_started_at</t>
  </si>
  <si>
    <t>ready_at</t>
  </si>
  <si>
    <t>recovery_note</t>
  </si>
  <si>
    <t>R001</t>
  </si>
  <si>
    <t>BLOCKED</t>
  </si>
  <si>
    <t>E001</t>
  </si>
  <si>
    <t>Item M001 unavail at kitchen station</t>
  </si>
  <si>
    <t>Shift Supervisor</t>
  </si>
  <si>
    <t>Customer C001 flagged high urgency due to class schedule; estimated +6 min prep ETA and queue impact; offered M011 replacement; verbal consent given.</t>
  </si>
  <si>
    <t>R002</t>
  </si>
  <si>
    <t>SUCCESS</t>
  </si>
  <si>
    <t>Prep Line Staff</t>
  </si>
  <si>
    <t>Item replacement M011 prepped.</t>
  </si>
  <si>
    <t>R003</t>
  </si>
  <si>
    <t>E002</t>
  </si>
  <si>
    <t>Item M002 unavail at kitchen station</t>
  </si>
  <si>
    <t>Customer C002 flagged high urgency for faculty meeting; estimated +8 min prep ETA and line impact; offered M012 replacement; verbal consent given.</t>
  </si>
  <si>
    <t>R004</t>
  </si>
  <si>
    <t>Item replacement M012 prepped.</t>
  </si>
  <si>
    <t>R005</t>
  </si>
  <si>
    <t>E003</t>
  </si>
  <si>
    <t>Item M003 unavail at kitchen station</t>
  </si>
  <si>
    <t>Customer C003 flagged high urgency for exam; estimated +10 min prep ETA and queue impact; offered M013 replacement; verbal consent given.</t>
  </si>
  <si>
    <t>R006</t>
  </si>
  <si>
    <t>Item replacement M013 prepped.</t>
  </si>
  <si>
    <t>R007</t>
  </si>
  <si>
    <t>E004</t>
  </si>
  <si>
    <t>Item M004 unavail at kitchen station</t>
  </si>
  <si>
    <t>Routine replacement agreed: M004 replaced with M014.</t>
  </si>
  <si>
    <t>R008</t>
  </si>
  <si>
    <t>Item replacement M014 prepped.</t>
  </si>
  <si>
    <t>R009</t>
  </si>
  <si>
    <t>E005</t>
  </si>
  <si>
    <t>Item M005 unavail at kitchen station</t>
  </si>
  <si>
    <t>Routine replacement agreed: M005 replaced with M015.</t>
  </si>
  <si>
    <t>R010</t>
  </si>
  <si>
    <t>Item replacement M015 prepped.</t>
  </si>
  <si>
    <t>R011</t>
  </si>
  <si>
    <t>E006</t>
  </si>
  <si>
    <t>Item M006 unavail at kitchen station</t>
  </si>
  <si>
    <t>Routine replacement agreed: M006 replaced with M016.</t>
  </si>
  <si>
    <t>R012</t>
  </si>
  <si>
    <t>Item replacement M016 prepped.</t>
  </si>
  <si>
    <t>R013</t>
  </si>
  <si>
    <t>Standard preparation.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</si>
  <si>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</si>
  <si>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</si>
  <si>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</si>
  <si>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</si>
  <si>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</si>
  <si>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</si>
  <si>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</si>
  <si>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</si>
  <si>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</si>
  <si>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</si>
  <si>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</si>
  <si>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</si>
  <si>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</si>
  <si>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</si>
  <si>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</si>
  <si>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</si>
  <si>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</si>
  <si>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</si>
  <si>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</si>
  <si>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</si>
  <si>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</si>
  <si>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</si>
  <si>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</si>
  <si>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payment_id</t>
  </si>
  <si>
    <t>event_at</t>
  </si>
  <si>
    <t>type</t>
  </si>
  <si>
    <t>amount</t>
  </si>
  <si>
    <t>P001</t>
  </si>
  <si>
    <t>CAPTURE</t>
  </si>
  <si>
    <t>SETTLED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</si>
  <si>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</si>
  <si>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</si>
  <si>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</si>
  <si>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</si>
  <si>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</si>
  <si>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</si>
  <si>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</si>
  <si>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</si>
  <si>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</si>
  <si>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</si>
  <si>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</si>
  <si>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</si>
  <si>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</si>
  <si>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</si>
  <si>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</si>
  <si>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</si>
  <si>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</si>
  <si>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</si>
  <si>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</si>
  <si>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</si>
  <si>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</si>
  <si>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</si>
  <si>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</si>
  <si>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</si>
  <si>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</si>
  <si>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</si>
  <si>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</si>
  <si>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</si>
  <si>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</si>
  <si>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</si>
  <si>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REFUND_GOODWILL</t>
  </si>
  <si>
    <t>P032</t>
  </si>
  <si>
    <t>P033</t>
  </si>
  <si>
    <t>P034</t>
  </si>
  <si>
    <t>P035</t>
  </si>
  <si>
    <t>P036</t>
  </si>
  <si>
    <t>Order ID</t>
  </si>
  <si>
    <t>Exception count</t>
  </si>
  <si>
    <t>Promised at UTC</t>
  </si>
  <si>
    <t>Ready at UTC</t>
  </si>
  <si>
    <t>Late minutes</t>
  </si>
  <si>
    <t>Extra labor min</t>
  </si>
  <si>
    <t>Refunds USD</t>
  </si>
  <si>
    <t>Burden USD</t>
  </si>
  <si>
    <t>Absolute capture difference USD</t>
  </si>
  <si>
    <t>Topic</t>
  </si>
  <si>
    <t>Generation</t>
  </si>
  <si>
    <t>Seven source tables generated in Gemini 3.6 Flash on 24 September 2026; prompts and correction retained in supporting provenance. Codex packaged and validated the workbook.</t>
  </si>
  <si>
    <t>Gemini source</t>
  </si>
  <si>
    <t>https://gemini.google.com/app/ac38f352f91d6520</t>
  </si>
  <si>
    <t>Labor rate USD/hour</t>
  </si>
  <si>
    <t>Synthetic scope</t>
  </si>
  <si>
    <t>30 fictional orders on 18 September 2026. Menu labels and prices are illustrative, not a verified current Sweetgreen menu. All timestamps are UTC.</t>
  </si>
  <si>
    <t>Curveball</t>
  </si>
  <si>
    <t>Nightly cached availability disagrees with current kitchen state; hypothetical cadence, not an observed Sweetgreen process.</t>
  </si>
  <si>
    <t>Row grain</t>
  </si>
  <si>
    <t>Customers: customer; MenuItems: menu item; Availability: item with cached/current states; Orders: order; OrderLines: item line; KitchenRuns: attempt; Payments: event.</t>
  </si>
  <si>
    <t>Keys</t>
  </si>
  <si>
    <t>customer_id links Orders to Customers; order_id joins lines/runs/payments; item_id and final_item_id join MenuItems; Availability joins by item_id.</t>
  </si>
  <si>
    <t>Metric definition</t>
  </si>
  <si>
    <t>Readiness lateness = max(0, successful ready_at minus promised_at), in minutes. Affected orders have a BLOCKED run. Labor sums extra_labor_min over all attempts.</t>
  </si>
  <si>
    <t>Timing simplification</t>
  </si>
  <si>
    <t>The six recovery orders are collected immediately on readiness. Other orders have separate readiness and collection times. Availability is checked before prep.</t>
  </si>
  <si>
    <t>Costs</t>
  </si>
  <si>
    <t>Labor is capacity consumed, not necessarily incremental payroll. Refunds are goodwill cash adjustments. Food waste is excluded. $44 is exposure, not guaranteed savings.</t>
  </si>
  <si>
    <t>Status interpretation</t>
  </si>
  <si>
    <t>Orders.status is the final COMPLETED state. accepted_at evidences CP1; no independent acceptance event log is claimed. BLOCKED and SUCCESS attempts are separate KitchenRuns rows.</t>
  </si>
  <si>
    <t>Consent</t>
  </si>
  <si>
    <t>Changed lines preserve original and final item IDs plus consent and change_agreed_at. Blank consent on unchanged lines means no change consent required.</t>
  </si>
  <si>
    <t>Control coverage</t>
  </si>
  <si>
    <t>CP5 cancellations and authorization voids are unseeded. No quality-remake examples are seeded. Proposed owner IDs, specification versions, original payment references and provider response IDs are detailed in the map register.</t>
  </si>
  <si>
    <t>Judgment notes</t>
  </si>
  <si>
    <t>Three recovery notes express urgency, estimated prep time, queue impact and consent. They are scenario inputs, not proof of causal attribution or allergy safety.</t>
  </si>
  <si>
    <t>Gemini review</t>
  </si>
  <si>
    <t>Gemini corrected six ready_at values and retracted unsupported food-waste/savings claims. Original generated source cells otherwise retained; derived columns and formula summaries added locally.</t>
  </si>
  <si>
    <t>Validation</t>
  </si>
  <si>
    <t>Unique keys, foreign keys, consent-before-prep chronology, capture-to-line reconciliation and totals independently checked. Seven source tables have 24-36 rows each.</t>
  </si>
  <si>
    <t>Lecture basis</t>
  </si>
  <si>
    <t>W3_Lab1_Lecture Notes.pdf and IE-GY-9113B_Lab1_StudyNote.pdf; supplied Order and Payment diagram.</t>
  </si>
  <si>
    <t>Checkpoint feedback</t>
  </si>
  <si>
    <t>Control points now name trigger, proposed owner, committed fields and downstream use in the annotated-map register.</t>
  </si>
  <si>
    <t>Lab 2 scope</t>
  </si>
  <si>
    <t>D2: current item availability plus freshness routing. Ingredient-level customizations and stock reservations require a richer production schema; this sandbox is item-level.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</si>
</sst>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\$0.00"/>
    <numFmt numFmtId="166" formatCode="0.0%"/>
    <numFmt numFmtId="167" formatCode="0.0"/>
  </numFmts>
  <fonts count="4">
    <font>
      <sz val="11"/>
      <name val="Carlito"/>
    </font>
    <font>
      <sz val="11"/>
      <color rgb="FF25332D"/>
      <name val="Arial"/>
      <family val="2"/>
    </font>
    <font>
      <b/>
      <sz val="11"/>
      <color rgb="FF234F3D"/>
      <name val="Arial"/>
      <family val="2"/>
    </font>
    <font>
      <b/>
      <sz val="11"/>
      <color rgb="FF234F3D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7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165" fontId="0" fillId="0" borderId="0" xfId="0" applyNumberFormat="1"/>
    <xf numFmtId="0" fontId="3" fillId="2" borderId="0" xfId="0" applyFont="1" applyFill="1" applyAlignment="1">
      <alignment wrapText="1"/>
    </xf>
    <xf numFmtId="165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167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tabSelected="1" workbookViewId="0"/>
  </sheetViews>
  <sheetFormatPr baseColWidth="10" defaultColWidth="8.83203125" defaultRowHeight="15"/>
  <cols>
    <col min="1" max="1" width="34" customWidth="1"/>
    <col min="2" max="2" width="18" customWidth="1"/>
    <col min="3" max="3" width="68" customWidth="1"/>
  </cols>
  <sheetData>
    <row r="1" spans="1:3" ht="38" customHeight="1">
      <c r="A1" s="2" t="s">
        <v>0</v>
      </c>
      <c r="B1" s="2" t="s">
        <v>1</v>
      </c>
      <c r="C1" s="2" t="s">
        <v>2</v>
      </c>
    </row>
    <row r="2" spans="1:3" ht="36" customHeight="1">
      <c r="A2" s="6" t="s">
        <v>3</v>
      </c>
      <c r="B2" s="6" t="s">
        <v>4</v>
      </c>
      <c r="C2" s="6" t="s">
        <v>5</v>
      </c>
    </row>
    <row r="3" spans="1:3" ht="36" customHeight="1">
      <c r="A3" s="6" t="s">
        <v>6</v>
      </c>
      <c r="B3" s="6">
        <f>COUNTA(Orders!A2:A31)</f>
        <v>30</v>
      </c>
      <c r="C3" s="6" t="s">
        <v>7</v>
      </c>
    </row>
    <row r="4" spans="1:3" ht="36" customHeight="1">
      <c r="A4" s="6" t="s">
        <v>8</v>
      </c>
      <c r="B4" s="6">
        <f>COUNTIF(Calculations!B2:B31,"&gt;0")</f>
        <v>6</v>
      </c>
      <c r="C4" s="6" t="s">
        <v>9</v>
      </c>
    </row>
    <row r="5" spans="1:3" ht="36" customHeight="1">
      <c r="A5" s="6" t="s">
        <v>10</v>
      </c>
      <c r="B5" s="11">
        <f>B4/B3</f>
        <v>0.2</v>
      </c>
      <c r="C5" s="6" t="s">
        <v>11</v>
      </c>
    </row>
    <row r="6" spans="1:3" ht="36" customHeight="1">
      <c r="A6" s="6" t="s">
        <v>12</v>
      </c>
      <c r="B6" s="6">
        <f>SUM(Availability!F2:F25)</f>
        <v>10</v>
      </c>
      <c r="C6" s="6" t="s">
        <v>13</v>
      </c>
    </row>
    <row r="7" spans="1:3" ht="36" customHeight="1">
      <c r="A7" s="6" t="s">
        <v>14</v>
      </c>
      <c r="B7" s="6">
        <f>SUM(Calculations!F2:F31)</f>
        <v>60</v>
      </c>
      <c r="C7" s="6" t="s">
        <v>15</v>
      </c>
    </row>
    <row r="8" spans="1:3" ht="36" customHeight="1">
      <c r="A8" s="6" t="s">
        <v>16</v>
      </c>
      <c r="B8" s="10">
        <f>SUM(Calculations!G2:G31)</f>
        <v>24</v>
      </c>
      <c r="C8" s="6" t="s">
        <v>17</v>
      </c>
    </row>
    <row r="9" spans="1:3" ht="36" customHeight="1">
      <c r="A9" s="6" t="s">
        <v>18</v>
      </c>
      <c r="B9" s="10">
        <f>SUM(Calculations!H2:H31)</f>
        <v>20</v>
      </c>
      <c r="C9" s="6" t="s">
        <v>19</v>
      </c>
    </row>
    <row r="10" spans="1:3" ht="36" customHeight="1">
      <c r="A10" s="6" t="s">
        <v>20</v>
      </c>
      <c r="B10" s="10">
        <f>B8+B9</f>
        <v>44</v>
      </c>
      <c r="C10" s="6" t="s">
        <v>21</v>
      </c>
    </row>
    <row r="11" spans="1:3" ht="36" customHeight="1">
      <c r="A11" s="6" t="s">
        <v>22</v>
      </c>
      <c r="B11" s="6">
        <f>SUM(Calculations!E2:E31)</f>
        <v>112</v>
      </c>
      <c r="C11" s="6" t="s">
        <v>23</v>
      </c>
    </row>
    <row r="12" spans="1:3" ht="36" customHeight="1">
      <c r="A12" s="6" t="s">
        <v>24</v>
      </c>
      <c r="B12" s="12">
        <f>SUMIF(Calculations!B2:B31,"&gt;0",Calculations!E2:E31)/B4</f>
        <v>18.666666666666668</v>
      </c>
      <c r="C12" s="6" t="s">
        <v>25</v>
      </c>
    </row>
    <row r="13" spans="1:3" ht="36" customHeight="1">
      <c r="A13" s="6" t="s">
        <v>26</v>
      </c>
      <c r="B13" s="10">
        <f>SUM(Calculations!J2:J31)</f>
        <v>0</v>
      </c>
      <c r="C13" s="6" t="s">
        <v>27</v>
      </c>
    </row>
    <row r="14" spans="1:3" ht="36" customHeight="1">
      <c r="A14" s="6" t="s">
        <v>28</v>
      </c>
      <c r="B14" s="6" t="s">
        <v>29</v>
      </c>
      <c r="C14" s="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4" width="20" customWidth="1"/>
  </cols>
  <sheetData>
    <row r="1" spans="1:4" ht="38" customHeight="1">
      <c r="A1" s="2" t="s">
        <v>31</v>
      </c>
      <c r="B1" s="2" t="s">
        <v>32</v>
      </c>
      <c r="C1" s="2" t="s">
        <v>33</v>
      </c>
      <c r="D1" s="2" t="s">
        <v>34</v>
      </c>
    </row>
    <row r="2" spans="1:4" ht="27" customHeight="1">
      <c r="A2" s="1" t="s">
        <v>35</v>
      </c>
      <c r="B2" s="1" t="s">
        <v>36</v>
      </c>
      <c r="C2" s="1" t="s">
        <v>37</v>
      </c>
      <c r="D2" s="1" t="s">
        <v>38</v>
      </c>
    </row>
    <row r="3" spans="1:4" ht="27" customHeight="1">
      <c r="A3" s="1" t="s">
        <v>39</v>
      </c>
      <c r="B3" s="1" t="s">
        <v>40</v>
      </c>
      <c r="C3" s="1" t="s">
        <v>37</v>
      </c>
      <c r="D3" s="1" t="s">
        <v>38</v>
      </c>
    </row>
    <row r="4" spans="1:4" ht="27" customHeight="1">
      <c r="A4" s="1" t="s">
        <v>41</v>
      </c>
      <c r="B4" s="1" t="s">
        <v>36</v>
      </c>
      <c r="C4" s="1" t="s">
        <v>37</v>
      </c>
      <c r="D4" s="1" t="s">
        <v>38</v>
      </c>
    </row>
    <row r="5" spans="1:4" ht="27" customHeight="1">
      <c r="A5" s="1" t="s">
        <v>42</v>
      </c>
      <c r="B5" s="1" t="s">
        <v>43</v>
      </c>
      <c r="C5" s="1" t="s">
        <v>44</v>
      </c>
      <c r="D5" s="1" t="s">
        <v>38</v>
      </c>
    </row>
    <row r="6" spans="1:4" ht="27" customHeight="1">
      <c r="A6" s="1" t="s">
        <v>45</v>
      </c>
      <c r="B6" s="1" t="s">
        <v>36</v>
      </c>
      <c r="C6" s="1" t="s">
        <v>44</v>
      </c>
      <c r="D6" s="1" t="s">
        <v>38</v>
      </c>
    </row>
    <row r="7" spans="1:4" ht="27" customHeight="1">
      <c r="A7" s="1" t="s">
        <v>46</v>
      </c>
      <c r="B7" s="1" t="s">
        <v>40</v>
      </c>
      <c r="C7" s="1" t="s">
        <v>47</v>
      </c>
      <c r="D7" s="1" t="s">
        <v>38</v>
      </c>
    </row>
    <row r="8" spans="1:4" ht="27" customHeight="1">
      <c r="A8" s="1" t="s">
        <v>48</v>
      </c>
      <c r="B8" s="1" t="s">
        <v>36</v>
      </c>
      <c r="C8" s="1" t="s">
        <v>47</v>
      </c>
      <c r="D8" s="1" t="s">
        <v>38</v>
      </c>
    </row>
    <row r="9" spans="1:4" ht="27" customHeight="1">
      <c r="A9" s="1" t="s">
        <v>49</v>
      </c>
      <c r="B9" s="1" t="s">
        <v>36</v>
      </c>
      <c r="C9" s="1" t="s">
        <v>47</v>
      </c>
      <c r="D9" s="1" t="s">
        <v>38</v>
      </c>
    </row>
    <row r="10" spans="1:4" ht="27" customHeight="1">
      <c r="A10" s="1" t="s">
        <v>50</v>
      </c>
      <c r="B10" s="1" t="s">
        <v>43</v>
      </c>
      <c r="C10" s="1" t="s">
        <v>47</v>
      </c>
      <c r="D10" s="1" t="s">
        <v>38</v>
      </c>
    </row>
    <row r="11" spans="1:4" ht="27" customHeight="1">
      <c r="A11" s="1" t="s">
        <v>51</v>
      </c>
      <c r="B11" s="1" t="s">
        <v>36</v>
      </c>
      <c r="C11" s="1" t="s">
        <v>44</v>
      </c>
      <c r="D11" s="1" t="s">
        <v>38</v>
      </c>
    </row>
    <row r="12" spans="1:4" ht="27" customHeight="1">
      <c r="A12" s="1" t="s">
        <v>52</v>
      </c>
      <c r="B12" s="1" t="s">
        <v>40</v>
      </c>
      <c r="C12" s="1" t="s">
        <v>47</v>
      </c>
      <c r="D12" s="1" t="s">
        <v>38</v>
      </c>
    </row>
    <row r="13" spans="1:4" ht="27" customHeight="1">
      <c r="A13" s="1" t="s">
        <v>53</v>
      </c>
      <c r="B13" s="1" t="s">
        <v>36</v>
      </c>
      <c r="C13" s="1" t="s">
        <v>47</v>
      </c>
      <c r="D13" s="1" t="s">
        <v>38</v>
      </c>
    </row>
    <row r="14" spans="1:4" ht="27" customHeight="1">
      <c r="A14" s="1" t="s">
        <v>54</v>
      </c>
      <c r="B14" s="1" t="s">
        <v>36</v>
      </c>
      <c r="C14" s="1" t="s">
        <v>47</v>
      </c>
      <c r="D14" s="1" t="s">
        <v>38</v>
      </c>
    </row>
    <row r="15" spans="1:4" ht="27" customHeight="1">
      <c r="A15" s="1" t="s">
        <v>55</v>
      </c>
      <c r="B15" s="1" t="s">
        <v>43</v>
      </c>
      <c r="C15" s="1" t="s">
        <v>47</v>
      </c>
      <c r="D15" s="1" t="s">
        <v>38</v>
      </c>
    </row>
    <row r="16" spans="1:4" ht="27" customHeight="1">
      <c r="A16" s="1" t="s">
        <v>56</v>
      </c>
      <c r="B16" s="1" t="s">
        <v>36</v>
      </c>
      <c r="C16" s="1" t="s">
        <v>47</v>
      </c>
      <c r="D16" s="1" t="s">
        <v>38</v>
      </c>
    </row>
    <row r="17" spans="1:4" ht="27" customHeight="1">
      <c r="A17" s="1" t="s">
        <v>57</v>
      </c>
      <c r="B17" s="1" t="s">
        <v>40</v>
      </c>
      <c r="C17" s="1" t="s">
        <v>47</v>
      </c>
      <c r="D17" s="1" t="s">
        <v>38</v>
      </c>
    </row>
    <row r="18" spans="1:4" ht="27" customHeight="1">
      <c r="A18" s="1" t="s">
        <v>58</v>
      </c>
      <c r="B18" s="1" t="s">
        <v>36</v>
      </c>
      <c r="C18" s="1" t="s">
        <v>47</v>
      </c>
      <c r="D18" s="1" t="s">
        <v>38</v>
      </c>
    </row>
    <row r="19" spans="1:4" ht="27" customHeight="1">
      <c r="A19" s="1" t="s">
        <v>59</v>
      </c>
      <c r="B19" s="1" t="s">
        <v>36</v>
      </c>
      <c r="C19" s="1" t="s">
        <v>47</v>
      </c>
      <c r="D19" s="1" t="s">
        <v>38</v>
      </c>
    </row>
    <row r="20" spans="1:4" ht="27" customHeight="1">
      <c r="A20" s="1" t="s">
        <v>60</v>
      </c>
      <c r="B20" s="1" t="s">
        <v>43</v>
      </c>
      <c r="C20" s="1" t="s">
        <v>47</v>
      </c>
      <c r="D20" s="1" t="s">
        <v>38</v>
      </c>
    </row>
    <row r="21" spans="1:4" ht="27" customHeight="1">
      <c r="A21" s="1" t="s">
        <v>61</v>
      </c>
      <c r="B21" s="1" t="s">
        <v>36</v>
      </c>
      <c r="C21" s="1" t="s">
        <v>47</v>
      </c>
      <c r="D21" s="1" t="s">
        <v>38</v>
      </c>
    </row>
    <row r="22" spans="1:4" ht="27" customHeight="1">
      <c r="A22" s="1" t="s">
        <v>62</v>
      </c>
      <c r="B22" s="1" t="s">
        <v>40</v>
      </c>
      <c r="C22" s="1" t="s">
        <v>47</v>
      </c>
      <c r="D22" s="1" t="s">
        <v>38</v>
      </c>
    </row>
    <row r="23" spans="1:4" ht="27" customHeight="1">
      <c r="A23" s="1" t="s">
        <v>63</v>
      </c>
      <c r="B23" s="1" t="s">
        <v>36</v>
      </c>
      <c r="C23" s="1" t="s">
        <v>47</v>
      </c>
      <c r="D23" s="1" t="s">
        <v>38</v>
      </c>
    </row>
    <row r="24" spans="1:4" ht="27" customHeight="1">
      <c r="A24" s="1" t="s">
        <v>64</v>
      </c>
      <c r="B24" s="1" t="s">
        <v>36</v>
      </c>
      <c r="C24" s="1" t="s">
        <v>47</v>
      </c>
      <c r="D24" s="1" t="s">
        <v>38</v>
      </c>
    </row>
    <row r="25" spans="1:4" ht="27" customHeight="1">
      <c r="A25" s="1" t="s">
        <v>65</v>
      </c>
      <c r="B25" s="1" t="s">
        <v>43</v>
      </c>
      <c r="C25" s="1" t="s">
        <v>47</v>
      </c>
      <c r="D25" s="1" t="s">
        <v>38</v>
      </c>
    </row>
    <row r="26" spans="1:4" ht="27" customHeight="1">
      <c r="A26" s="1" t="s">
        <v>66</v>
      </c>
      <c r="B26" s="1" t="s">
        <v>36</v>
      </c>
      <c r="C26" s="1" t="s">
        <v>47</v>
      </c>
      <c r="D26" s="1" t="s">
        <v>38</v>
      </c>
    </row>
    <row r="27" spans="1:4" ht="27" customHeight="1">
      <c r="A27" s="1" t="s">
        <v>67</v>
      </c>
      <c r="B27" s="1" t="s">
        <v>40</v>
      </c>
      <c r="C27" s="1" t="s">
        <v>47</v>
      </c>
      <c r="D27" s="1" t="s">
        <v>38</v>
      </c>
    </row>
    <row r="28" spans="1:4" ht="27" customHeight="1">
      <c r="A28" s="1" t="s">
        <v>68</v>
      </c>
      <c r="B28" s="1" t="s">
        <v>36</v>
      </c>
      <c r="C28" s="1" t="s">
        <v>47</v>
      </c>
      <c r="D28" s="1" t="s">
        <v>38</v>
      </c>
    </row>
    <row r="29" spans="1:4" ht="27" customHeight="1">
      <c r="A29" s="1" t="s">
        <v>69</v>
      </c>
      <c r="B29" s="1" t="s">
        <v>36</v>
      </c>
      <c r="C29" s="1" t="s">
        <v>47</v>
      </c>
      <c r="D29" s="1" t="s">
        <v>38</v>
      </c>
    </row>
    <row r="30" spans="1:4" ht="27" customHeight="1">
      <c r="A30" s="1" t="s">
        <v>70</v>
      </c>
      <c r="B30" s="1" t="s">
        <v>43</v>
      </c>
      <c r="C30" s="1" t="s">
        <v>47</v>
      </c>
      <c r="D30" s="1" t="s">
        <v>38</v>
      </c>
    </row>
    <row r="31" spans="1:4" ht="27" customHeight="1">
      <c r="A31" s="1" t="s">
        <v>71</v>
      </c>
      <c r="B31" s="1" t="s">
        <v>36</v>
      </c>
      <c r="C31" s="1" t="s">
        <v>47</v>
      </c>
      <c r="D3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32" customWidth="1"/>
    <col min="3" max="3" width="20" customWidth="1"/>
  </cols>
  <sheetData>
    <row r="1" spans="1:3" ht="38" customHeight="1">
      <c r="A1" s="2" t="s">
        <v>72</v>
      </c>
      <c r="B1" s="2" t="s">
        <v>73</v>
      </c>
      <c r="C1" s="2" t="s">
        <v>74</v>
      </c>
    </row>
    <row r="2" spans="1:3" ht="27" customHeight="1">
      <c r="A2" s="1" t="s">
        <v>75</v>
      </c>
      <c r="B2" s="1" t="s">
        <v>76</v>
      </c>
      <c r="C2" s="5">
        <v>13.5</v>
      </c>
    </row>
    <row r="3" spans="1:3" ht="27" customHeight="1">
      <c r="A3" s="1" t="s">
        <v>77</v>
      </c>
      <c r="B3" s="1" t="s">
        <v>78</v>
      </c>
      <c r="C3" s="5">
        <v>13</v>
      </c>
    </row>
    <row r="4" spans="1:3" ht="27" customHeight="1">
      <c r="A4" s="1" t="s">
        <v>79</v>
      </c>
      <c r="B4" s="1" t="s">
        <v>80</v>
      </c>
      <c r="C4" s="5">
        <v>14.5</v>
      </c>
    </row>
    <row r="5" spans="1:3" ht="27" customHeight="1">
      <c r="A5" s="1" t="s">
        <v>81</v>
      </c>
      <c r="B5" s="1" t="s">
        <v>82</v>
      </c>
      <c r="C5" s="5">
        <v>12.5</v>
      </c>
    </row>
    <row r="6" spans="1:3" ht="27" customHeight="1">
      <c r="A6" s="1" t="s">
        <v>83</v>
      </c>
      <c r="B6" s="1" t="s">
        <v>84</v>
      </c>
      <c r="C6" s="5">
        <v>14</v>
      </c>
    </row>
    <row r="7" spans="1:3" ht="27" customHeight="1">
      <c r="A7" s="1" t="s">
        <v>85</v>
      </c>
      <c r="B7" s="1" t="s">
        <v>86</v>
      </c>
      <c r="C7" s="5">
        <v>13.5</v>
      </c>
    </row>
    <row r="8" spans="1:3" ht="27" customHeight="1">
      <c r="A8" s="1" t="s">
        <v>87</v>
      </c>
      <c r="B8" s="1" t="s">
        <v>88</v>
      </c>
      <c r="C8" s="5">
        <v>15</v>
      </c>
    </row>
    <row r="9" spans="1:3" ht="27" customHeight="1">
      <c r="A9" s="1" t="s">
        <v>89</v>
      </c>
      <c r="B9" s="1" t="s">
        <v>90</v>
      </c>
      <c r="C9" s="5">
        <v>13</v>
      </c>
    </row>
    <row r="10" spans="1:3" ht="27" customHeight="1">
      <c r="A10" s="1" t="s">
        <v>91</v>
      </c>
      <c r="B10" s="1" t="s">
        <v>92</v>
      </c>
      <c r="C10" s="5">
        <v>14.5</v>
      </c>
    </row>
    <row r="11" spans="1:3" ht="27" customHeight="1">
      <c r="A11" s="1" t="s">
        <v>93</v>
      </c>
      <c r="B11" s="1" t="s">
        <v>94</v>
      </c>
      <c r="C11" s="5">
        <v>12</v>
      </c>
    </row>
    <row r="12" spans="1:3" ht="27" customHeight="1">
      <c r="A12" s="1" t="s">
        <v>95</v>
      </c>
      <c r="B12" s="1" t="s">
        <v>96</v>
      </c>
      <c r="C12" s="5">
        <v>13.5</v>
      </c>
    </row>
    <row r="13" spans="1:3" ht="27" customHeight="1">
      <c r="A13" s="1" t="s">
        <v>97</v>
      </c>
      <c r="B13" s="1" t="s">
        <v>98</v>
      </c>
      <c r="C13" s="5">
        <v>13</v>
      </c>
    </row>
    <row r="14" spans="1:3" ht="27" customHeight="1">
      <c r="A14" s="1" t="s">
        <v>99</v>
      </c>
      <c r="B14" s="1" t="s">
        <v>100</v>
      </c>
      <c r="C14" s="5">
        <v>14.5</v>
      </c>
    </row>
    <row r="15" spans="1:3" ht="27" customHeight="1">
      <c r="A15" s="1" t="s">
        <v>101</v>
      </c>
      <c r="B15" s="1" t="s">
        <v>102</v>
      </c>
      <c r="C15" s="5">
        <v>12.5</v>
      </c>
    </row>
    <row r="16" spans="1:3" ht="27" customHeight="1">
      <c r="A16" s="1" t="s">
        <v>103</v>
      </c>
      <c r="B16" s="1" t="s">
        <v>104</v>
      </c>
      <c r="C16" s="5">
        <v>14</v>
      </c>
    </row>
    <row r="17" spans="1:3" ht="27" customHeight="1">
      <c r="A17" s="1" t="s">
        <v>105</v>
      </c>
      <c r="B17" s="1" t="s">
        <v>106</v>
      </c>
      <c r="C17" s="5">
        <v>13.5</v>
      </c>
    </row>
    <row r="18" spans="1:3" ht="27" customHeight="1">
      <c r="A18" s="1" t="s">
        <v>107</v>
      </c>
      <c r="B18" s="1" t="s">
        <v>108</v>
      </c>
      <c r="C18" s="5">
        <v>15</v>
      </c>
    </row>
    <row r="19" spans="1:3" ht="27" customHeight="1">
      <c r="A19" s="1" t="s">
        <v>109</v>
      </c>
      <c r="B19" s="1" t="s">
        <v>110</v>
      </c>
      <c r="C19" s="5">
        <v>13</v>
      </c>
    </row>
    <row r="20" spans="1:3" ht="27" customHeight="1">
      <c r="A20" s="1" t="s">
        <v>111</v>
      </c>
      <c r="B20" s="1" t="s">
        <v>112</v>
      </c>
      <c r="C20" s="5">
        <v>14.5</v>
      </c>
    </row>
    <row r="21" spans="1:3" ht="27" customHeight="1">
      <c r="A21" s="1" t="s">
        <v>113</v>
      </c>
      <c r="B21" s="1" t="s">
        <v>114</v>
      </c>
      <c r="C21" s="5">
        <v>12</v>
      </c>
    </row>
    <row r="22" spans="1:3" ht="27" customHeight="1">
      <c r="A22" s="1" t="s">
        <v>115</v>
      </c>
      <c r="B22" s="1" t="s">
        <v>116</v>
      </c>
      <c r="C22" s="5">
        <v>13</v>
      </c>
    </row>
    <row r="23" spans="1:3" ht="27" customHeight="1">
      <c r="A23" s="1" t="s">
        <v>117</v>
      </c>
      <c r="B23" s="1" t="s">
        <v>118</v>
      </c>
      <c r="C23" s="5">
        <v>12.5</v>
      </c>
    </row>
    <row r="24" spans="1:3" ht="27" customHeight="1">
      <c r="A24" s="1" t="s">
        <v>119</v>
      </c>
      <c r="B24" s="1" t="s">
        <v>120</v>
      </c>
      <c r="C24" s="5">
        <v>14</v>
      </c>
    </row>
    <row r="25" spans="1:3" ht="27" customHeight="1">
      <c r="A25" s="1" t="s">
        <v>121</v>
      </c>
      <c r="B25" s="1" t="s">
        <v>122</v>
      </c>
      <c r="C25" s="5">
        <v>15.5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25" customWidth="1"/>
    <col min="3" max="3" width="20" customWidth="1"/>
    <col min="4" max="4" width="25" customWidth="1"/>
    <col min="5" max="5" width="20" customWidth="1"/>
    <col min="6" max="6" width="23" customWidth="1"/>
  </cols>
  <sheetData>
    <row r="1" spans="1:6" ht="38" customHeight="1">
      <c r="A1" s="2" t="s">
        <v>72</v>
      </c>
      <c r="B1" s="2" t="s">
        <v>123</v>
      </c>
      <c r="C1" s="2" t="s">
        <v>124</v>
      </c>
      <c r="D1" s="2" t="s">
        <v>125</v>
      </c>
      <c r="E1" s="2" t="s">
        <v>126</v>
      </c>
      <c r="F1" s="9" t="s">
        <v>127</v>
      </c>
    </row>
    <row r="2" spans="1:6" ht="27" customHeight="1">
      <c r="A2" s="1" t="s">
        <v>75</v>
      </c>
      <c r="B2" s="4">
        <v>46283</v>
      </c>
      <c r="C2" s="3" t="b">
        <v>1</v>
      </c>
      <c r="D2" s="4">
        <v>46283.458333333336</v>
      </c>
      <c r="E2" s="3" t="b">
        <v>0</v>
      </c>
      <c r="F2">
        <f t="shared" ref="F2:F25" si="0">IF(C2=E2,0,1)</f>
        <v>1</v>
      </c>
    </row>
    <row r="3" spans="1:6" ht="27" customHeight="1">
      <c r="A3" s="1" t="s">
        <v>77</v>
      </c>
      <c r="B3" s="4">
        <v>46283</v>
      </c>
      <c r="C3" s="3" t="b">
        <v>1</v>
      </c>
      <c r="D3" s="4">
        <v>46283.458333333336</v>
      </c>
      <c r="E3" s="3" t="b">
        <v>0</v>
      </c>
      <c r="F3">
        <f t="shared" si="0"/>
        <v>1</v>
      </c>
    </row>
    <row r="4" spans="1:6" ht="27" customHeight="1">
      <c r="A4" s="1" t="s">
        <v>79</v>
      </c>
      <c r="B4" s="4">
        <v>46283</v>
      </c>
      <c r="C4" s="3" t="b">
        <v>1</v>
      </c>
      <c r="D4" s="4">
        <v>46283.458333333336</v>
      </c>
      <c r="E4" s="3" t="b">
        <v>0</v>
      </c>
      <c r="F4">
        <f t="shared" si="0"/>
        <v>1</v>
      </c>
    </row>
    <row r="5" spans="1:6" ht="27" customHeight="1">
      <c r="A5" s="1" t="s">
        <v>81</v>
      </c>
      <c r="B5" s="4">
        <v>46283</v>
      </c>
      <c r="C5" s="3" t="b">
        <v>1</v>
      </c>
      <c r="D5" s="4">
        <v>46283.458333333336</v>
      </c>
      <c r="E5" s="3" t="b">
        <v>0</v>
      </c>
      <c r="F5">
        <f t="shared" si="0"/>
        <v>1</v>
      </c>
    </row>
    <row r="6" spans="1:6" ht="27" customHeight="1">
      <c r="A6" s="1" t="s">
        <v>83</v>
      </c>
      <c r="B6" s="4">
        <v>46283</v>
      </c>
      <c r="C6" s="3" t="b">
        <v>1</v>
      </c>
      <c r="D6" s="4">
        <v>46283.458333333336</v>
      </c>
      <c r="E6" s="3" t="b">
        <v>0</v>
      </c>
      <c r="F6">
        <f t="shared" si="0"/>
        <v>1</v>
      </c>
    </row>
    <row r="7" spans="1:6" ht="27" customHeight="1">
      <c r="A7" s="1" t="s">
        <v>85</v>
      </c>
      <c r="B7" s="4">
        <v>46283</v>
      </c>
      <c r="C7" s="3" t="b">
        <v>1</v>
      </c>
      <c r="D7" s="4">
        <v>46283.458333333336</v>
      </c>
      <c r="E7" s="3" t="b">
        <v>0</v>
      </c>
      <c r="F7">
        <f t="shared" si="0"/>
        <v>1</v>
      </c>
    </row>
    <row r="8" spans="1:6" ht="27" customHeight="1">
      <c r="A8" s="1" t="s">
        <v>87</v>
      </c>
      <c r="B8" s="4">
        <v>46283</v>
      </c>
      <c r="C8" s="3" t="b">
        <v>1</v>
      </c>
      <c r="D8" s="4">
        <v>46283.458333333336</v>
      </c>
      <c r="E8" s="3" t="b">
        <v>0</v>
      </c>
      <c r="F8">
        <f t="shared" si="0"/>
        <v>1</v>
      </c>
    </row>
    <row r="9" spans="1:6" ht="27" customHeight="1">
      <c r="A9" s="1" t="s">
        <v>89</v>
      </c>
      <c r="B9" s="4">
        <v>46283</v>
      </c>
      <c r="C9" s="3" t="b">
        <v>1</v>
      </c>
      <c r="D9" s="4">
        <v>46283.458333333336</v>
      </c>
      <c r="E9" s="3" t="b">
        <v>0</v>
      </c>
      <c r="F9">
        <f t="shared" si="0"/>
        <v>1</v>
      </c>
    </row>
    <row r="10" spans="1:6" ht="27" customHeight="1">
      <c r="A10" s="1" t="s">
        <v>91</v>
      </c>
      <c r="B10" s="4">
        <v>46283</v>
      </c>
      <c r="C10" s="3" t="b">
        <v>1</v>
      </c>
      <c r="D10" s="4">
        <v>46283.458333333336</v>
      </c>
      <c r="E10" s="3" t="b">
        <v>0</v>
      </c>
      <c r="F10">
        <f t="shared" si="0"/>
        <v>1</v>
      </c>
    </row>
    <row r="11" spans="1:6" ht="27" customHeight="1">
      <c r="A11" s="1" t="s">
        <v>93</v>
      </c>
      <c r="B11" s="4">
        <v>46283</v>
      </c>
      <c r="C11" s="3" t="b">
        <v>1</v>
      </c>
      <c r="D11" s="4">
        <v>46283.458333333336</v>
      </c>
      <c r="E11" s="3" t="b">
        <v>0</v>
      </c>
      <c r="F11">
        <f t="shared" si="0"/>
        <v>1</v>
      </c>
    </row>
    <row r="12" spans="1:6" ht="27" customHeight="1">
      <c r="A12" s="1" t="s">
        <v>95</v>
      </c>
      <c r="B12" s="4">
        <v>46283</v>
      </c>
      <c r="C12" s="3" t="b">
        <v>1</v>
      </c>
      <c r="D12" s="4">
        <v>46283.458333333336</v>
      </c>
      <c r="E12" s="3" t="b">
        <v>1</v>
      </c>
      <c r="F12">
        <f t="shared" si="0"/>
        <v>0</v>
      </c>
    </row>
    <row r="13" spans="1:6" ht="27" customHeight="1">
      <c r="A13" s="1" t="s">
        <v>97</v>
      </c>
      <c r="B13" s="4">
        <v>46283</v>
      </c>
      <c r="C13" s="3" t="b">
        <v>1</v>
      </c>
      <c r="D13" s="4">
        <v>46283.458333333336</v>
      </c>
      <c r="E13" s="3" t="b">
        <v>1</v>
      </c>
      <c r="F13">
        <f t="shared" si="0"/>
        <v>0</v>
      </c>
    </row>
    <row r="14" spans="1:6" ht="27" customHeight="1">
      <c r="A14" s="1" t="s">
        <v>99</v>
      </c>
      <c r="B14" s="4">
        <v>46283</v>
      </c>
      <c r="C14" s="3" t="b">
        <v>1</v>
      </c>
      <c r="D14" s="4">
        <v>46283.458333333336</v>
      </c>
      <c r="E14" s="3" t="b">
        <v>1</v>
      </c>
      <c r="F14">
        <f t="shared" si="0"/>
        <v>0</v>
      </c>
    </row>
    <row r="15" spans="1:6" ht="27" customHeight="1">
      <c r="A15" s="1" t="s">
        <v>101</v>
      </c>
      <c r="B15" s="4">
        <v>46283</v>
      </c>
      <c r="C15" s="3" t="b">
        <v>1</v>
      </c>
      <c r="D15" s="4">
        <v>46283.458333333336</v>
      </c>
      <c r="E15" s="3" t="b">
        <v>1</v>
      </c>
      <c r="F15">
        <f t="shared" si="0"/>
        <v>0</v>
      </c>
    </row>
    <row r="16" spans="1:6" ht="27" customHeight="1">
      <c r="A16" s="1" t="s">
        <v>103</v>
      </c>
      <c r="B16" s="4">
        <v>46283</v>
      </c>
      <c r="C16" s="3" t="b">
        <v>1</v>
      </c>
      <c r="D16" s="4">
        <v>46283.458333333336</v>
      </c>
      <c r="E16" s="3" t="b">
        <v>1</v>
      </c>
      <c r="F16">
        <f t="shared" si="0"/>
        <v>0</v>
      </c>
    </row>
    <row r="17" spans="1:6" ht="27" customHeight="1">
      <c r="A17" s="1" t="s">
        <v>105</v>
      </c>
      <c r="B17" s="4">
        <v>46283</v>
      </c>
      <c r="C17" s="3" t="b">
        <v>1</v>
      </c>
      <c r="D17" s="4">
        <v>46283.458333333336</v>
      </c>
      <c r="E17" s="3" t="b">
        <v>1</v>
      </c>
      <c r="F17">
        <f t="shared" si="0"/>
        <v>0</v>
      </c>
    </row>
    <row r="18" spans="1:6" ht="27" customHeight="1">
      <c r="A18" s="1" t="s">
        <v>107</v>
      </c>
      <c r="B18" s="4">
        <v>46283</v>
      </c>
      <c r="C18" s="3" t="b">
        <v>1</v>
      </c>
      <c r="D18" s="4">
        <v>46283.458333333336</v>
      </c>
      <c r="E18" s="3" t="b">
        <v>1</v>
      </c>
      <c r="F18">
        <f t="shared" si="0"/>
        <v>0</v>
      </c>
    </row>
    <row r="19" spans="1:6" ht="27" customHeight="1">
      <c r="A19" s="1" t="s">
        <v>109</v>
      </c>
      <c r="B19" s="4">
        <v>46283</v>
      </c>
      <c r="C19" s="3" t="b">
        <v>1</v>
      </c>
      <c r="D19" s="4">
        <v>46283.458333333336</v>
      </c>
      <c r="E19" s="3" t="b">
        <v>1</v>
      </c>
      <c r="F19">
        <f t="shared" si="0"/>
        <v>0</v>
      </c>
    </row>
    <row r="20" spans="1:6" ht="27" customHeight="1">
      <c r="A20" s="1" t="s">
        <v>111</v>
      </c>
      <c r="B20" s="4">
        <v>46283</v>
      </c>
      <c r="C20" s="3" t="b">
        <v>1</v>
      </c>
      <c r="D20" s="4">
        <v>46283.458333333336</v>
      </c>
      <c r="E20" s="3" t="b">
        <v>1</v>
      </c>
      <c r="F20">
        <f t="shared" si="0"/>
        <v>0</v>
      </c>
    </row>
    <row r="21" spans="1:6" ht="27" customHeight="1">
      <c r="A21" s="1" t="s">
        <v>113</v>
      </c>
      <c r="B21" s="4">
        <v>46283</v>
      </c>
      <c r="C21" s="3" t="b">
        <v>1</v>
      </c>
      <c r="D21" s="4">
        <v>46283.458333333336</v>
      </c>
      <c r="E21" s="3" t="b">
        <v>1</v>
      </c>
      <c r="F21">
        <f t="shared" si="0"/>
        <v>0</v>
      </c>
    </row>
    <row r="22" spans="1:6" ht="27" customHeight="1">
      <c r="A22" s="1" t="s">
        <v>115</v>
      </c>
      <c r="B22" s="4">
        <v>46283</v>
      </c>
      <c r="C22" s="3" t="b">
        <v>1</v>
      </c>
      <c r="D22" s="4">
        <v>46283.458333333336</v>
      </c>
      <c r="E22" s="3" t="b">
        <v>1</v>
      </c>
      <c r="F22">
        <f t="shared" si="0"/>
        <v>0</v>
      </c>
    </row>
    <row r="23" spans="1:6" ht="27" customHeight="1">
      <c r="A23" s="1" t="s">
        <v>117</v>
      </c>
      <c r="B23" s="4">
        <v>46283</v>
      </c>
      <c r="C23" s="3" t="b">
        <v>1</v>
      </c>
      <c r="D23" s="4">
        <v>46283.458333333336</v>
      </c>
      <c r="E23" s="3" t="b">
        <v>1</v>
      </c>
      <c r="F23">
        <f t="shared" si="0"/>
        <v>0</v>
      </c>
    </row>
    <row r="24" spans="1:6" ht="27" customHeight="1">
      <c r="A24" s="1" t="s">
        <v>119</v>
      </c>
      <c r="B24" s="4">
        <v>46283</v>
      </c>
      <c r="C24" s="3" t="b">
        <v>1</v>
      </c>
      <c r="D24" s="4">
        <v>46283.458333333336</v>
      </c>
      <c r="E24" s="3" t="b">
        <v>1</v>
      </c>
      <c r="F24">
        <f t="shared" si="0"/>
        <v>0</v>
      </c>
    </row>
    <row r="25" spans="1:6" ht="27" customHeight="1">
      <c r="A25" s="1" t="s">
        <v>121</v>
      </c>
      <c r="B25" s="4">
        <v>46283</v>
      </c>
      <c r="C25" s="3" t="b">
        <v>1</v>
      </c>
      <c r="D25" s="4">
        <v>46283.458333333336</v>
      </c>
      <c r="E25" s="3" t="b">
        <v>1</v>
      </c>
      <c r="F25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5" width="25" customWidth="1"/>
    <col min="6" max="6" width="20" customWidth="1"/>
  </cols>
  <sheetData>
    <row r="1" spans="1:6" ht="38" customHeight="1">
      <c r="A1" s="2" t="s">
        <v>128</v>
      </c>
      <c r="B1" s="2" t="s">
        <v>31</v>
      </c>
      <c r="C1" s="2" t="s">
        <v>129</v>
      </c>
      <c r="D1" s="2" t="s">
        <v>130</v>
      </c>
      <c r="E1" s="2" t="s">
        <v>131</v>
      </c>
      <c r="F1" s="2" t="s">
        <v>132</v>
      </c>
    </row>
    <row r="2" spans="1:6" ht="27" customHeight="1">
      <c r="A2" s="1" t="s">
        <v>133</v>
      </c>
      <c r="B2" s="1" t="s">
        <v>35</v>
      </c>
      <c r="C2" s="4">
        <v>46283.459027777775</v>
      </c>
      <c r="D2" s="4">
        <v>46283.46875</v>
      </c>
      <c r="E2" s="4">
        <v>46283.477083333331</v>
      </c>
      <c r="F2" s="1" t="s">
        <v>134</v>
      </c>
    </row>
    <row r="3" spans="1:6" ht="27" customHeight="1">
      <c r="A3" s="1" t="s">
        <v>135</v>
      </c>
      <c r="B3" s="1" t="s">
        <v>39</v>
      </c>
      <c r="C3" s="4">
        <v>46283.459722222222</v>
      </c>
      <c r="D3" s="4">
        <v>46283.469444444447</v>
      </c>
      <c r="E3" s="4">
        <v>46283.479861111111</v>
      </c>
      <c r="F3" s="1" t="s">
        <v>134</v>
      </c>
    </row>
    <row r="4" spans="1:6" ht="27" customHeight="1">
      <c r="A4" s="1" t="s">
        <v>136</v>
      </c>
      <c r="B4" s="1" t="s">
        <v>41</v>
      </c>
      <c r="C4" s="4">
        <v>46283.460416666669</v>
      </c>
      <c r="D4" s="4">
        <v>46283.470138888886</v>
      </c>
      <c r="E4" s="4">
        <v>46283.481944444444</v>
      </c>
      <c r="F4" s="1" t="s">
        <v>134</v>
      </c>
    </row>
    <row r="5" spans="1:6" ht="27" customHeight="1">
      <c r="A5" s="1" t="s">
        <v>137</v>
      </c>
      <c r="B5" s="1" t="s">
        <v>42</v>
      </c>
      <c r="C5" s="4">
        <v>46283.461111111108</v>
      </c>
      <c r="D5" s="4">
        <v>46283.470833333333</v>
      </c>
      <c r="E5" s="4">
        <v>46283.484722222223</v>
      </c>
      <c r="F5" s="1" t="s">
        <v>134</v>
      </c>
    </row>
    <row r="6" spans="1:6" ht="27" customHeight="1">
      <c r="A6" s="1" t="s">
        <v>138</v>
      </c>
      <c r="B6" s="1" t="s">
        <v>45</v>
      </c>
      <c r="C6" s="4">
        <v>46283.461805555555</v>
      </c>
      <c r="D6" s="4">
        <v>46283.47152777778</v>
      </c>
      <c r="E6" s="4">
        <v>46283.486805555556</v>
      </c>
      <c r="F6" s="1" t="s">
        <v>134</v>
      </c>
    </row>
    <row r="7" spans="1:6" ht="27" customHeight="1">
      <c r="A7" s="1" t="s">
        <v>139</v>
      </c>
      <c r="B7" s="1" t="s">
        <v>46</v>
      </c>
      <c r="C7" s="4">
        <v>46283.462500000001</v>
      </c>
      <c r="D7" s="4">
        <v>46283.472222222219</v>
      </c>
      <c r="E7" s="4">
        <v>46283.490277777775</v>
      </c>
      <c r="F7" s="1" t="s">
        <v>134</v>
      </c>
    </row>
    <row r="8" spans="1:6" ht="27" customHeight="1">
      <c r="A8" s="1" t="s">
        <v>140</v>
      </c>
      <c r="B8" s="1" t="s">
        <v>48</v>
      </c>
      <c r="C8" s="4">
        <v>46283.463194444441</v>
      </c>
      <c r="D8" s="4">
        <v>46283.472916666666</v>
      </c>
      <c r="E8" s="4">
        <v>46283.47152777778</v>
      </c>
      <c r="F8" s="1" t="s">
        <v>134</v>
      </c>
    </row>
    <row r="9" spans="1:6" ht="27" customHeight="1">
      <c r="A9" s="1" t="s">
        <v>141</v>
      </c>
      <c r="B9" s="1" t="s">
        <v>49</v>
      </c>
      <c r="C9" s="4">
        <v>46283.463888888888</v>
      </c>
      <c r="D9" s="4">
        <v>46283.473611111112</v>
      </c>
      <c r="E9" s="4">
        <v>46283.472222222219</v>
      </c>
      <c r="F9" s="1" t="s">
        <v>134</v>
      </c>
    </row>
    <row r="10" spans="1:6" ht="27" customHeight="1">
      <c r="A10" s="1" t="s">
        <v>142</v>
      </c>
      <c r="B10" s="1" t="s">
        <v>50</v>
      </c>
      <c r="C10" s="4">
        <v>46283.464583333334</v>
      </c>
      <c r="D10" s="4">
        <v>46283.474305555559</v>
      </c>
      <c r="E10" s="4">
        <v>46283.472916666666</v>
      </c>
      <c r="F10" s="1" t="s">
        <v>134</v>
      </c>
    </row>
    <row r="11" spans="1:6" ht="27" customHeight="1">
      <c r="A11" s="1" t="s">
        <v>143</v>
      </c>
      <c r="B11" s="1" t="s">
        <v>51</v>
      </c>
      <c r="C11" s="4">
        <v>46283.465277777781</v>
      </c>
      <c r="D11" s="4">
        <v>46283.474999999999</v>
      </c>
      <c r="E11" s="4">
        <v>46283.473611111112</v>
      </c>
      <c r="F11" s="1" t="s">
        <v>134</v>
      </c>
    </row>
    <row r="12" spans="1:6" ht="27" customHeight="1">
      <c r="A12" s="1" t="s">
        <v>144</v>
      </c>
      <c r="B12" s="1" t="s">
        <v>52</v>
      </c>
      <c r="C12" s="4">
        <v>46283.46597222222</v>
      </c>
      <c r="D12" s="4">
        <v>46283.475694444445</v>
      </c>
      <c r="E12" s="4">
        <v>46283.474305555559</v>
      </c>
      <c r="F12" s="1" t="s">
        <v>134</v>
      </c>
    </row>
    <row r="13" spans="1:6" ht="27" customHeight="1">
      <c r="A13" s="1" t="s">
        <v>145</v>
      </c>
      <c r="B13" s="1" t="s">
        <v>53</v>
      </c>
      <c r="C13" s="4">
        <v>46283.466666666667</v>
      </c>
      <c r="D13" s="4">
        <v>46283.476388888892</v>
      </c>
      <c r="E13" s="4">
        <v>46283.474999999999</v>
      </c>
      <c r="F13" s="1" t="s">
        <v>134</v>
      </c>
    </row>
    <row r="14" spans="1:6" ht="27" customHeight="1">
      <c r="A14" s="1" t="s">
        <v>146</v>
      </c>
      <c r="B14" s="1" t="s">
        <v>54</v>
      </c>
      <c r="C14" s="4">
        <v>46283.467361111114</v>
      </c>
      <c r="D14" s="4">
        <v>46283.477083333331</v>
      </c>
      <c r="E14" s="4">
        <v>46283.475694444445</v>
      </c>
      <c r="F14" s="1" t="s">
        <v>134</v>
      </c>
    </row>
    <row r="15" spans="1:6" ht="27" customHeight="1">
      <c r="A15" s="1" t="s">
        <v>147</v>
      </c>
      <c r="B15" s="1" t="s">
        <v>55</v>
      </c>
      <c r="C15" s="4">
        <v>46283.468055555553</v>
      </c>
      <c r="D15" s="4">
        <v>46283.477777777778</v>
      </c>
      <c r="E15" s="4">
        <v>46283.476388888892</v>
      </c>
      <c r="F15" s="1" t="s">
        <v>134</v>
      </c>
    </row>
    <row r="16" spans="1:6" ht="27" customHeight="1">
      <c r="A16" s="1" t="s">
        <v>148</v>
      </c>
      <c r="B16" s="1" t="s">
        <v>56</v>
      </c>
      <c r="C16" s="4">
        <v>46283.46875</v>
      </c>
      <c r="D16" s="4">
        <v>46283.478472222225</v>
      </c>
      <c r="E16" s="4">
        <v>46283.477083333331</v>
      </c>
      <c r="F16" s="1" t="s">
        <v>134</v>
      </c>
    </row>
    <row r="17" spans="1:6" ht="27" customHeight="1">
      <c r="A17" s="1" t="s">
        <v>149</v>
      </c>
      <c r="B17" s="1" t="s">
        <v>57</v>
      </c>
      <c r="C17" s="4">
        <v>46283.469444444447</v>
      </c>
      <c r="D17" s="4">
        <v>46283.479166666664</v>
      </c>
      <c r="E17" s="4">
        <v>46283.477777777778</v>
      </c>
      <c r="F17" s="1" t="s">
        <v>134</v>
      </c>
    </row>
    <row r="18" spans="1:6" ht="27" customHeight="1">
      <c r="A18" s="1" t="s">
        <v>150</v>
      </c>
      <c r="B18" s="1" t="s">
        <v>58</v>
      </c>
      <c r="C18" s="4">
        <v>46283.470138888886</v>
      </c>
      <c r="D18" s="4">
        <v>46283.479861111111</v>
      </c>
      <c r="E18" s="4">
        <v>46283.478472222225</v>
      </c>
      <c r="F18" s="1" t="s">
        <v>134</v>
      </c>
    </row>
    <row r="19" spans="1:6" ht="27" customHeight="1">
      <c r="A19" s="1" t="s">
        <v>151</v>
      </c>
      <c r="B19" s="1" t="s">
        <v>59</v>
      </c>
      <c r="C19" s="4">
        <v>46283.470833333333</v>
      </c>
      <c r="D19" s="4">
        <v>46283.480555555558</v>
      </c>
      <c r="E19" s="4">
        <v>46283.479166666664</v>
      </c>
      <c r="F19" s="1" t="s">
        <v>134</v>
      </c>
    </row>
    <row r="20" spans="1:6" ht="27" customHeight="1">
      <c r="A20" s="1" t="s">
        <v>152</v>
      </c>
      <c r="B20" s="1" t="s">
        <v>60</v>
      </c>
      <c r="C20" s="4">
        <v>46283.47152777778</v>
      </c>
      <c r="D20" s="4">
        <v>46283.481249999997</v>
      </c>
      <c r="E20" s="4">
        <v>46283.479861111111</v>
      </c>
      <c r="F20" s="1" t="s">
        <v>134</v>
      </c>
    </row>
    <row r="21" spans="1:6" ht="27" customHeight="1">
      <c r="A21" s="1" t="s">
        <v>153</v>
      </c>
      <c r="B21" s="1" t="s">
        <v>61</v>
      </c>
      <c r="C21" s="4">
        <v>46283.472222222219</v>
      </c>
      <c r="D21" s="4">
        <v>46283.481944444444</v>
      </c>
      <c r="E21" s="4">
        <v>46283.480555555558</v>
      </c>
      <c r="F21" s="1" t="s">
        <v>134</v>
      </c>
    </row>
    <row r="22" spans="1:6" ht="27" customHeight="1">
      <c r="A22" s="1" t="s">
        <v>154</v>
      </c>
      <c r="B22" s="1" t="s">
        <v>62</v>
      </c>
      <c r="C22" s="4">
        <v>46283.472916666666</v>
      </c>
      <c r="D22" s="4">
        <v>46283.482638888891</v>
      </c>
      <c r="E22" s="4">
        <v>46283.481249999997</v>
      </c>
      <c r="F22" s="1" t="s">
        <v>134</v>
      </c>
    </row>
    <row r="23" spans="1:6" ht="27" customHeight="1">
      <c r="A23" s="1" t="s">
        <v>155</v>
      </c>
      <c r="B23" s="1" t="s">
        <v>63</v>
      </c>
      <c r="C23" s="4">
        <v>46283.473611111112</v>
      </c>
      <c r="D23" s="4">
        <v>46283.48333333333</v>
      </c>
      <c r="E23" s="4">
        <v>46283.481944444444</v>
      </c>
      <c r="F23" s="1" t="s">
        <v>134</v>
      </c>
    </row>
    <row r="24" spans="1:6" ht="27" customHeight="1">
      <c r="A24" s="1" t="s">
        <v>156</v>
      </c>
      <c r="B24" s="1" t="s">
        <v>64</v>
      </c>
      <c r="C24" s="4">
        <v>46283.474305555559</v>
      </c>
      <c r="D24" s="4">
        <v>46283.484027777777</v>
      </c>
      <c r="E24" s="4">
        <v>46283.482638888891</v>
      </c>
      <c r="F24" s="1" t="s">
        <v>134</v>
      </c>
    </row>
    <row r="25" spans="1:6" ht="27" customHeight="1">
      <c r="A25" s="1" t="s">
        <v>157</v>
      </c>
      <c r="B25" s="1" t="s">
        <v>65</v>
      </c>
      <c r="C25" s="4">
        <v>46283.474999999999</v>
      </c>
      <c r="D25" s="4">
        <v>46283.484722222223</v>
      </c>
      <c r="E25" s="4">
        <v>46283.48333333333</v>
      </c>
      <c r="F25" s="1" t="s">
        <v>134</v>
      </c>
    </row>
    <row r="26" spans="1:6" ht="27" customHeight="1">
      <c r="A26" s="1" t="s">
        <v>158</v>
      </c>
      <c r="B26" s="1" t="s">
        <v>66</v>
      </c>
      <c r="C26" s="4">
        <v>46283.475694444445</v>
      </c>
      <c r="D26" s="4">
        <v>46283.48541666667</v>
      </c>
      <c r="E26" s="4">
        <v>46283.484027777777</v>
      </c>
      <c r="F26" s="1" t="s">
        <v>134</v>
      </c>
    </row>
    <row r="27" spans="1:6" ht="27" customHeight="1">
      <c r="A27" s="1" t="s">
        <v>159</v>
      </c>
      <c r="B27" s="1" t="s">
        <v>67</v>
      </c>
      <c r="C27" s="4">
        <v>46283.476388888892</v>
      </c>
      <c r="D27" s="4">
        <v>46283.486111111109</v>
      </c>
      <c r="E27" s="4">
        <v>46283.484722222223</v>
      </c>
      <c r="F27" s="1" t="s">
        <v>134</v>
      </c>
    </row>
    <row r="28" spans="1:6" ht="27" customHeight="1">
      <c r="A28" s="1" t="s">
        <v>160</v>
      </c>
      <c r="B28" s="1" t="s">
        <v>68</v>
      </c>
      <c r="C28" s="4">
        <v>46283.477083333331</v>
      </c>
      <c r="D28" s="4">
        <v>46283.486805555556</v>
      </c>
      <c r="E28" s="4">
        <v>46283.48541666667</v>
      </c>
      <c r="F28" s="1" t="s">
        <v>134</v>
      </c>
    </row>
    <row r="29" spans="1:6" ht="27" customHeight="1">
      <c r="A29" s="1" t="s">
        <v>161</v>
      </c>
      <c r="B29" s="1" t="s">
        <v>69</v>
      </c>
      <c r="C29" s="4">
        <v>46283.477777777778</v>
      </c>
      <c r="D29" s="4">
        <v>46283.487500000003</v>
      </c>
      <c r="E29" s="4">
        <v>46283.486111111109</v>
      </c>
      <c r="F29" s="1" t="s">
        <v>134</v>
      </c>
    </row>
    <row r="30" spans="1:6" ht="27" customHeight="1">
      <c r="A30" s="1" t="s">
        <v>162</v>
      </c>
      <c r="B30" s="1" t="s">
        <v>70</v>
      </c>
      <c r="C30" s="4">
        <v>46283.478472222225</v>
      </c>
      <c r="D30" s="4">
        <v>46283.488194444442</v>
      </c>
      <c r="E30" s="4">
        <v>46283.486805555556</v>
      </c>
      <c r="F30" s="1" t="s">
        <v>134</v>
      </c>
    </row>
    <row r="31" spans="1:6" ht="27" customHeight="1">
      <c r="A31" s="1" t="s">
        <v>163</v>
      </c>
      <c r="B31" s="1" t="s">
        <v>71</v>
      </c>
      <c r="C31" s="4">
        <v>46283.479166666664</v>
      </c>
      <c r="D31" s="4">
        <v>46283.488888888889</v>
      </c>
      <c r="E31" s="4">
        <v>46283.487500000003</v>
      </c>
      <c r="F31" s="1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6" width="20" customWidth="1"/>
    <col min="7" max="7" width="25" customWidth="1"/>
    <col min="8" max="9" width="20" customWidth="1"/>
  </cols>
  <sheetData>
    <row r="1" spans="1:9" ht="38" customHeight="1">
      <c r="A1" s="2" t="s">
        <v>164</v>
      </c>
      <c r="B1" s="2" t="s">
        <v>128</v>
      </c>
      <c r="C1" s="2" t="s">
        <v>72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169</v>
      </c>
      <c r="I1" s="9" t="s">
        <v>170</v>
      </c>
    </row>
    <row r="2" spans="1:9" ht="27" customHeight="1">
      <c r="A2" s="1" t="s">
        <v>171</v>
      </c>
      <c r="B2" s="1" t="s">
        <v>133</v>
      </c>
      <c r="C2" s="1" t="s">
        <v>75</v>
      </c>
      <c r="D2" s="1">
        <v>1</v>
      </c>
      <c r="E2" s="5">
        <v>13.5</v>
      </c>
      <c r="F2" s="1" t="s">
        <v>95</v>
      </c>
      <c r="G2" s="4">
        <v>46283.46597222222</v>
      </c>
      <c r="H2" s="3" t="b">
        <v>1</v>
      </c>
      <c r="I2" s="8">
        <f t="shared" ref="I2:I37" si="0">D2*E2</f>
        <v>13.5</v>
      </c>
    </row>
    <row r="3" spans="1:9" ht="27" customHeight="1">
      <c r="A3" s="1" t="s">
        <v>172</v>
      </c>
      <c r="B3" s="1" t="s">
        <v>135</v>
      </c>
      <c r="C3" s="1" t="s">
        <v>77</v>
      </c>
      <c r="D3" s="1">
        <v>1</v>
      </c>
      <c r="E3" s="5">
        <v>13</v>
      </c>
      <c r="F3" s="1" t="s">
        <v>97</v>
      </c>
      <c r="G3" s="4">
        <v>46283.466666666667</v>
      </c>
      <c r="H3" s="3" t="b">
        <v>1</v>
      </c>
      <c r="I3" s="8">
        <f t="shared" si="0"/>
        <v>13</v>
      </c>
    </row>
    <row r="4" spans="1:9" ht="27" customHeight="1">
      <c r="A4" s="1" t="s">
        <v>173</v>
      </c>
      <c r="B4" s="1" t="s">
        <v>136</v>
      </c>
      <c r="C4" s="1" t="s">
        <v>79</v>
      </c>
      <c r="D4" s="1">
        <v>1</v>
      </c>
      <c r="E4" s="5">
        <v>14.5</v>
      </c>
      <c r="F4" s="1" t="s">
        <v>99</v>
      </c>
      <c r="G4" s="4">
        <v>46283.467361111114</v>
      </c>
      <c r="H4" s="3" t="b">
        <v>1</v>
      </c>
      <c r="I4" s="8">
        <f t="shared" si="0"/>
        <v>14.5</v>
      </c>
    </row>
    <row r="5" spans="1:9" ht="27" customHeight="1">
      <c r="A5" s="1" t="s">
        <v>174</v>
      </c>
      <c r="B5" s="1" t="s">
        <v>137</v>
      </c>
      <c r="C5" s="1" t="s">
        <v>81</v>
      </c>
      <c r="D5" s="1">
        <v>1</v>
      </c>
      <c r="E5" s="5">
        <v>12.5</v>
      </c>
      <c r="F5" s="1" t="s">
        <v>101</v>
      </c>
      <c r="G5" s="4">
        <v>46283.468055555553</v>
      </c>
      <c r="H5" s="3" t="b">
        <v>1</v>
      </c>
      <c r="I5" s="8">
        <f t="shared" si="0"/>
        <v>12.5</v>
      </c>
    </row>
    <row r="6" spans="1:9" ht="27" customHeight="1">
      <c r="A6" s="1" t="s">
        <v>175</v>
      </c>
      <c r="B6" s="1" t="s">
        <v>138</v>
      </c>
      <c r="C6" s="1" t="s">
        <v>83</v>
      </c>
      <c r="D6" s="1">
        <v>1</v>
      </c>
      <c r="E6" s="5">
        <v>14</v>
      </c>
      <c r="F6" s="1" t="s">
        <v>103</v>
      </c>
      <c r="G6" s="4">
        <v>46283.46875</v>
      </c>
      <c r="H6" s="3" t="b">
        <v>1</v>
      </c>
      <c r="I6" s="8">
        <f t="shared" si="0"/>
        <v>14</v>
      </c>
    </row>
    <row r="7" spans="1:9" ht="27" customHeight="1">
      <c r="A7" s="1" t="s">
        <v>176</v>
      </c>
      <c r="B7" s="1" t="s">
        <v>139</v>
      </c>
      <c r="C7" s="1" t="s">
        <v>85</v>
      </c>
      <c r="D7" s="1">
        <v>1</v>
      </c>
      <c r="E7" s="5">
        <v>13.5</v>
      </c>
      <c r="F7" s="1" t="s">
        <v>105</v>
      </c>
      <c r="G7" s="4">
        <v>46283.469444444447</v>
      </c>
      <c r="H7" s="3" t="b">
        <v>1</v>
      </c>
      <c r="I7" s="8">
        <f t="shared" si="0"/>
        <v>13.5</v>
      </c>
    </row>
    <row r="8" spans="1:9" ht="27" customHeight="1">
      <c r="A8" s="1" t="s">
        <v>177</v>
      </c>
      <c r="B8" s="1" t="s">
        <v>140</v>
      </c>
      <c r="C8" s="1" t="s">
        <v>95</v>
      </c>
      <c r="D8" s="1">
        <v>1</v>
      </c>
      <c r="E8" s="5">
        <v>13.5</v>
      </c>
      <c r="F8" s="1" t="s">
        <v>95</v>
      </c>
      <c r="G8" s="4"/>
      <c r="H8" s="1"/>
      <c r="I8" s="8">
        <f t="shared" si="0"/>
        <v>13.5</v>
      </c>
    </row>
    <row r="9" spans="1:9" ht="27" customHeight="1">
      <c r="A9" s="1" t="s">
        <v>178</v>
      </c>
      <c r="B9" s="1" t="s">
        <v>141</v>
      </c>
      <c r="C9" s="1" t="s">
        <v>97</v>
      </c>
      <c r="D9" s="1">
        <v>1</v>
      </c>
      <c r="E9" s="5">
        <v>13</v>
      </c>
      <c r="F9" s="1" t="s">
        <v>97</v>
      </c>
      <c r="G9" s="4"/>
      <c r="H9" s="1"/>
      <c r="I9" s="8">
        <f t="shared" si="0"/>
        <v>13</v>
      </c>
    </row>
    <row r="10" spans="1:9" ht="27" customHeight="1">
      <c r="A10" s="1" t="s">
        <v>179</v>
      </c>
      <c r="B10" s="1" t="s">
        <v>142</v>
      </c>
      <c r="C10" s="1" t="s">
        <v>99</v>
      </c>
      <c r="D10" s="1">
        <v>1</v>
      </c>
      <c r="E10" s="5">
        <v>14.5</v>
      </c>
      <c r="F10" s="1" t="s">
        <v>99</v>
      </c>
      <c r="G10" s="4"/>
      <c r="H10" s="1"/>
      <c r="I10" s="8">
        <f t="shared" si="0"/>
        <v>14.5</v>
      </c>
    </row>
    <row r="11" spans="1:9" ht="27" customHeight="1">
      <c r="A11" s="1" t="s">
        <v>180</v>
      </c>
      <c r="B11" s="1" t="s">
        <v>143</v>
      </c>
      <c r="C11" s="1" t="s">
        <v>101</v>
      </c>
      <c r="D11" s="1">
        <v>1</v>
      </c>
      <c r="E11" s="5">
        <v>12.5</v>
      </c>
      <c r="F11" s="1" t="s">
        <v>101</v>
      </c>
      <c r="G11" s="4"/>
      <c r="H11" s="1"/>
      <c r="I11" s="8">
        <f t="shared" si="0"/>
        <v>12.5</v>
      </c>
    </row>
    <row r="12" spans="1:9" ht="27" customHeight="1">
      <c r="A12" s="1" t="s">
        <v>181</v>
      </c>
      <c r="B12" s="1" t="s">
        <v>144</v>
      </c>
      <c r="C12" s="1" t="s">
        <v>103</v>
      </c>
      <c r="D12" s="1">
        <v>1</v>
      </c>
      <c r="E12" s="5">
        <v>14</v>
      </c>
      <c r="F12" s="1" t="s">
        <v>103</v>
      </c>
      <c r="G12" s="4"/>
      <c r="H12" s="1"/>
      <c r="I12" s="8">
        <f t="shared" si="0"/>
        <v>14</v>
      </c>
    </row>
    <row r="13" spans="1:9" ht="27" customHeight="1">
      <c r="A13" s="1" t="s">
        <v>182</v>
      </c>
      <c r="B13" s="1" t="s">
        <v>145</v>
      </c>
      <c r="C13" s="1" t="s">
        <v>105</v>
      </c>
      <c r="D13" s="1">
        <v>1</v>
      </c>
      <c r="E13" s="5">
        <v>13.5</v>
      </c>
      <c r="F13" s="1" t="s">
        <v>105</v>
      </c>
      <c r="G13" s="4"/>
      <c r="H13" s="1"/>
      <c r="I13" s="8">
        <f t="shared" si="0"/>
        <v>13.5</v>
      </c>
    </row>
    <row r="14" spans="1:9" ht="27" customHeight="1">
      <c r="A14" s="1" t="s">
        <v>183</v>
      </c>
      <c r="B14" s="1" t="s">
        <v>146</v>
      </c>
      <c r="C14" s="1" t="s">
        <v>107</v>
      </c>
      <c r="D14" s="1">
        <v>1</v>
      </c>
      <c r="E14" s="5">
        <v>15</v>
      </c>
      <c r="F14" s="1" t="s">
        <v>107</v>
      </c>
      <c r="G14" s="4"/>
      <c r="H14" s="1"/>
      <c r="I14" s="8">
        <f t="shared" si="0"/>
        <v>15</v>
      </c>
    </row>
    <row r="15" spans="1:9" ht="27" customHeight="1">
      <c r="A15" s="1" t="s">
        <v>184</v>
      </c>
      <c r="B15" s="1" t="s">
        <v>147</v>
      </c>
      <c r="C15" s="1" t="s">
        <v>109</v>
      </c>
      <c r="D15" s="1">
        <v>1</v>
      </c>
      <c r="E15" s="5">
        <v>13</v>
      </c>
      <c r="F15" s="1" t="s">
        <v>109</v>
      </c>
      <c r="G15" s="4"/>
      <c r="H15" s="1"/>
      <c r="I15" s="8">
        <f t="shared" si="0"/>
        <v>13</v>
      </c>
    </row>
    <row r="16" spans="1:9" ht="27" customHeight="1">
      <c r="A16" s="1" t="s">
        <v>185</v>
      </c>
      <c r="B16" s="1" t="s">
        <v>148</v>
      </c>
      <c r="C16" s="1" t="s">
        <v>111</v>
      </c>
      <c r="D16" s="1">
        <v>1</v>
      </c>
      <c r="E16" s="5">
        <v>14.5</v>
      </c>
      <c r="F16" s="1" t="s">
        <v>111</v>
      </c>
      <c r="G16" s="4"/>
      <c r="H16" s="1"/>
      <c r="I16" s="8">
        <f t="shared" si="0"/>
        <v>14.5</v>
      </c>
    </row>
    <row r="17" spans="1:9" ht="27" customHeight="1">
      <c r="A17" s="1" t="s">
        <v>186</v>
      </c>
      <c r="B17" s="1" t="s">
        <v>149</v>
      </c>
      <c r="C17" s="1" t="s">
        <v>113</v>
      </c>
      <c r="D17" s="1">
        <v>1</v>
      </c>
      <c r="E17" s="5">
        <v>12</v>
      </c>
      <c r="F17" s="1" t="s">
        <v>113</v>
      </c>
      <c r="G17" s="4"/>
      <c r="H17" s="1"/>
      <c r="I17" s="8">
        <f t="shared" si="0"/>
        <v>12</v>
      </c>
    </row>
    <row r="18" spans="1:9" ht="27" customHeight="1">
      <c r="A18" s="1" t="s">
        <v>187</v>
      </c>
      <c r="B18" s="1" t="s">
        <v>150</v>
      </c>
      <c r="C18" s="1" t="s">
        <v>115</v>
      </c>
      <c r="D18" s="1">
        <v>1</v>
      </c>
      <c r="E18" s="5">
        <v>13</v>
      </c>
      <c r="F18" s="1" t="s">
        <v>115</v>
      </c>
      <c r="G18" s="4"/>
      <c r="H18" s="1"/>
      <c r="I18" s="8">
        <f t="shared" si="0"/>
        <v>13</v>
      </c>
    </row>
    <row r="19" spans="1:9" ht="27" customHeight="1">
      <c r="A19" s="1" t="s">
        <v>188</v>
      </c>
      <c r="B19" s="1" t="s">
        <v>151</v>
      </c>
      <c r="C19" s="1" t="s">
        <v>117</v>
      </c>
      <c r="D19" s="1">
        <v>1</v>
      </c>
      <c r="E19" s="5">
        <v>12.5</v>
      </c>
      <c r="F19" s="1" t="s">
        <v>117</v>
      </c>
      <c r="G19" s="4"/>
      <c r="H19" s="1"/>
      <c r="I19" s="8">
        <f t="shared" si="0"/>
        <v>12.5</v>
      </c>
    </row>
    <row r="20" spans="1:9" ht="27" customHeight="1">
      <c r="A20" s="1" t="s">
        <v>189</v>
      </c>
      <c r="B20" s="1" t="s">
        <v>152</v>
      </c>
      <c r="C20" s="1" t="s">
        <v>119</v>
      </c>
      <c r="D20" s="1">
        <v>1</v>
      </c>
      <c r="E20" s="5">
        <v>14</v>
      </c>
      <c r="F20" s="1" t="s">
        <v>119</v>
      </c>
      <c r="G20" s="4"/>
      <c r="H20" s="1"/>
      <c r="I20" s="8">
        <f t="shared" si="0"/>
        <v>14</v>
      </c>
    </row>
    <row r="21" spans="1:9" ht="27" customHeight="1">
      <c r="A21" s="1" t="s">
        <v>190</v>
      </c>
      <c r="B21" s="1" t="s">
        <v>153</v>
      </c>
      <c r="C21" s="1" t="s">
        <v>121</v>
      </c>
      <c r="D21" s="1">
        <v>1</v>
      </c>
      <c r="E21" s="5">
        <v>15.5</v>
      </c>
      <c r="F21" s="1" t="s">
        <v>121</v>
      </c>
      <c r="G21" s="4"/>
      <c r="H21" s="1"/>
      <c r="I21" s="8">
        <f t="shared" si="0"/>
        <v>15.5</v>
      </c>
    </row>
    <row r="22" spans="1:9" ht="27" customHeight="1">
      <c r="A22" s="1" t="s">
        <v>191</v>
      </c>
      <c r="B22" s="1" t="s">
        <v>154</v>
      </c>
      <c r="C22" s="1" t="s">
        <v>95</v>
      </c>
      <c r="D22" s="1">
        <v>1</v>
      </c>
      <c r="E22" s="5">
        <v>13.5</v>
      </c>
      <c r="F22" s="1" t="s">
        <v>95</v>
      </c>
      <c r="G22" s="4"/>
      <c r="H22" s="1"/>
      <c r="I22" s="8">
        <f t="shared" si="0"/>
        <v>13.5</v>
      </c>
    </row>
    <row r="23" spans="1:9" ht="27" customHeight="1">
      <c r="A23" s="1" t="s">
        <v>192</v>
      </c>
      <c r="B23" s="1" t="s">
        <v>155</v>
      </c>
      <c r="C23" s="1" t="s">
        <v>97</v>
      </c>
      <c r="D23" s="1">
        <v>1</v>
      </c>
      <c r="E23" s="5">
        <v>13</v>
      </c>
      <c r="F23" s="1" t="s">
        <v>97</v>
      </c>
      <c r="G23" s="4"/>
      <c r="H23" s="1"/>
      <c r="I23" s="8">
        <f t="shared" si="0"/>
        <v>13</v>
      </c>
    </row>
    <row r="24" spans="1:9" ht="27" customHeight="1">
      <c r="A24" s="1" t="s">
        <v>193</v>
      </c>
      <c r="B24" s="1" t="s">
        <v>156</v>
      </c>
      <c r="C24" s="1" t="s">
        <v>99</v>
      </c>
      <c r="D24" s="1">
        <v>1</v>
      </c>
      <c r="E24" s="5">
        <v>14.5</v>
      </c>
      <c r="F24" s="1" t="s">
        <v>99</v>
      </c>
      <c r="G24" s="4"/>
      <c r="H24" s="1"/>
      <c r="I24" s="8">
        <f t="shared" si="0"/>
        <v>14.5</v>
      </c>
    </row>
    <row r="25" spans="1:9" ht="27" customHeight="1">
      <c r="A25" s="1" t="s">
        <v>194</v>
      </c>
      <c r="B25" s="1" t="s">
        <v>157</v>
      </c>
      <c r="C25" s="1" t="s">
        <v>101</v>
      </c>
      <c r="D25" s="1">
        <v>1</v>
      </c>
      <c r="E25" s="5">
        <v>12.5</v>
      </c>
      <c r="F25" s="1" t="s">
        <v>101</v>
      </c>
      <c r="G25" s="4"/>
      <c r="H25" s="1"/>
      <c r="I25" s="8">
        <f t="shared" si="0"/>
        <v>12.5</v>
      </c>
    </row>
    <row r="26" spans="1:9" ht="27" customHeight="1">
      <c r="A26" s="1" t="s">
        <v>195</v>
      </c>
      <c r="B26" s="1" t="s">
        <v>158</v>
      </c>
      <c r="C26" s="1" t="s">
        <v>103</v>
      </c>
      <c r="D26" s="1">
        <v>1</v>
      </c>
      <c r="E26" s="5">
        <v>14</v>
      </c>
      <c r="F26" s="1" t="s">
        <v>103</v>
      </c>
      <c r="G26" s="4"/>
      <c r="H26" s="1"/>
      <c r="I26" s="8">
        <f t="shared" si="0"/>
        <v>14</v>
      </c>
    </row>
    <row r="27" spans="1:9" ht="27" customHeight="1">
      <c r="A27" s="1" t="s">
        <v>196</v>
      </c>
      <c r="B27" s="1" t="s">
        <v>159</v>
      </c>
      <c r="C27" s="1" t="s">
        <v>105</v>
      </c>
      <c r="D27" s="1">
        <v>1</v>
      </c>
      <c r="E27" s="5">
        <v>13.5</v>
      </c>
      <c r="F27" s="1" t="s">
        <v>105</v>
      </c>
      <c r="G27" s="4"/>
      <c r="H27" s="1"/>
      <c r="I27" s="8">
        <f t="shared" si="0"/>
        <v>13.5</v>
      </c>
    </row>
    <row r="28" spans="1:9" ht="27" customHeight="1">
      <c r="A28" s="1" t="s">
        <v>197</v>
      </c>
      <c r="B28" s="1" t="s">
        <v>160</v>
      </c>
      <c r="C28" s="1" t="s">
        <v>107</v>
      </c>
      <c r="D28" s="1">
        <v>1</v>
      </c>
      <c r="E28" s="5">
        <v>15</v>
      </c>
      <c r="F28" s="1" t="s">
        <v>107</v>
      </c>
      <c r="G28" s="4"/>
      <c r="H28" s="1"/>
      <c r="I28" s="8">
        <f t="shared" si="0"/>
        <v>15</v>
      </c>
    </row>
    <row r="29" spans="1:9" ht="27" customHeight="1">
      <c r="A29" s="1" t="s">
        <v>198</v>
      </c>
      <c r="B29" s="1" t="s">
        <v>161</v>
      </c>
      <c r="C29" s="1" t="s">
        <v>109</v>
      </c>
      <c r="D29" s="1">
        <v>1</v>
      </c>
      <c r="E29" s="5">
        <v>13</v>
      </c>
      <c r="F29" s="1" t="s">
        <v>109</v>
      </c>
      <c r="G29" s="4"/>
      <c r="H29" s="1"/>
      <c r="I29" s="8">
        <f t="shared" si="0"/>
        <v>13</v>
      </c>
    </row>
    <row r="30" spans="1:9" ht="27" customHeight="1">
      <c r="A30" s="1" t="s">
        <v>199</v>
      </c>
      <c r="B30" s="1" t="s">
        <v>162</v>
      </c>
      <c r="C30" s="1" t="s">
        <v>111</v>
      </c>
      <c r="D30" s="1">
        <v>1</v>
      </c>
      <c r="E30" s="5">
        <v>14.5</v>
      </c>
      <c r="F30" s="1" t="s">
        <v>111</v>
      </c>
      <c r="G30" s="4"/>
      <c r="H30" s="1"/>
      <c r="I30" s="8">
        <f t="shared" si="0"/>
        <v>14.5</v>
      </c>
    </row>
    <row r="31" spans="1:9" ht="27" customHeight="1">
      <c r="A31" s="1" t="s">
        <v>200</v>
      </c>
      <c r="B31" s="1" t="s">
        <v>163</v>
      </c>
      <c r="C31" s="1" t="s">
        <v>113</v>
      </c>
      <c r="D31" s="1">
        <v>1</v>
      </c>
      <c r="E31" s="5">
        <v>12</v>
      </c>
      <c r="F31" s="1" t="s">
        <v>113</v>
      </c>
      <c r="G31" s="4"/>
      <c r="H31" s="1"/>
      <c r="I31" s="8">
        <f t="shared" si="0"/>
        <v>12</v>
      </c>
    </row>
    <row r="32" spans="1:9" ht="27" customHeight="1">
      <c r="A32" s="1" t="s">
        <v>201</v>
      </c>
      <c r="B32" s="1" t="s">
        <v>158</v>
      </c>
      <c r="C32" s="1" t="s">
        <v>115</v>
      </c>
      <c r="D32" s="1">
        <v>1</v>
      </c>
      <c r="E32" s="5">
        <v>13</v>
      </c>
      <c r="F32" s="1" t="s">
        <v>115</v>
      </c>
      <c r="G32" s="4"/>
      <c r="H32" s="1"/>
      <c r="I32" s="8">
        <f t="shared" si="0"/>
        <v>13</v>
      </c>
    </row>
    <row r="33" spans="1:9" ht="27" customHeight="1">
      <c r="A33" s="1" t="s">
        <v>202</v>
      </c>
      <c r="B33" s="1" t="s">
        <v>159</v>
      </c>
      <c r="C33" s="1" t="s">
        <v>117</v>
      </c>
      <c r="D33" s="1">
        <v>1</v>
      </c>
      <c r="E33" s="5">
        <v>12.5</v>
      </c>
      <c r="F33" s="1" t="s">
        <v>117</v>
      </c>
      <c r="G33" s="4"/>
      <c r="H33" s="1"/>
      <c r="I33" s="8">
        <f t="shared" si="0"/>
        <v>12.5</v>
      </c>
    </row>
    <row r="34" spans="1:9" ht="27" customHeight="1">
      <c r="A34" s="1" t="s">
        <v>203</v>
      </c>
      <c r="B34" s="1" t="s">
        <v>160</v>
      </c>
      <c r="C34" s="1" t="s">
        <v>119</v>
      </c>
      <c r="D34" s="1">
        <v>1</v>
      </c>
      <c r="E34" s="5">
        <v>14</v>
      </c>
      <c r="F34" s="1" t="s">
        <v>119</v>
      </c>
      <c r="G34" s="4"/>
      <c r="H34" s="1"/>
      <c r="I34" s="8">
        <f t="shared" si="0"/>
        <v>14</v>
      </c>
    </row>
    <row r="35" spans="1:9" ht="27" customHeight="1">
      <c r="A35" s="1" t="s">
        <v>204</v>
      </c>
      <c r="B35" s="1" t="s">
        <v>161</v>
      </c>
      <c r="C35" s="1" t="s">
        <v>121</v>
      </c>
      <c r="D35" s="1">
        <v>1</v>
      </c>
      <c r="E35" s="5">
        <v>15.5</v>
      </c>
      <c r="F35" s="1" t="s">
        <v>121</v>
      </c>
      <c r="G35" s="4"/>
      <c r="H35" s="1"/>
      <c r="I35" s="8">
        <f t="shared" si="0"/>
        <v>15.5</v>
      </c>
    </row>
    <row r="36" spans="1:9" ht="27" customHeight="1">
      <c r="A36" s="1" t="s">
        <v>205</v>
      </c>
      <c r="B36" s="1" t="s">
        <v>162</v>
      </c>
      <c r="C36" s="1" t="s">
        <v>95</v>
      </c>
      <c r="D36" s="1">
        <v>1</v>
      </c>
      <c r="E36" s="5">
        <v>13.5</v>
      </c>
      <c r="F36" s="1" t="s">
        <v>95</v>
      </c>
      <c r="G36" s="4"/>
      <c r="H36" s="1"/>
      <c r="I36" s="8">
        <f t="shared" si="0"/>
        <v>13.5</v>
      </c>
    </row>
    <row r="37" spans="1:9" ht="27" customHeight="1">
      <c r="A37" s="1" t="s">
        <v>206</v>
      </c>
      <c r="B37" s="1" t="s">
        <v>163</v>
      </c>
      <c r="C37" s="1" t="s">
        <v>97</v>
      </c>
      <c r="D37" s="1">
        <v>1</v>
      </c>
      <c r="E37" s="5">
        <v>13</v>
      </c>
      <c r="F37" s="1" t="s">
        <v>97</v>
      </c>
      <c r="G37" s="4"/>
      <c r="H37" s="1"/>
      <c r="I37" s="8">
        <f t="shared" si="0"/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3" width="20" customWidth="1"/>
    <col min="4" max="4" width="25" customWidth="1"/>
    <col min="5" max="6" width="20" customWidth="1"/>
    <col min="7" max="8" width="28" customWidth="1"/>
    <col min="9" max="9" width="20" customWidth="1"/>
    <col min="10" max="11" width="25" customWidth="1"/>
    <col min="12" max="12" width="70" customWidth="1"/>
  </cols>
  <sheetData>
    <row r="1" spans="1:12" ht="38" customHeight="1">
      <c r="A1" s="2" t="s">
        <v>207</v>
      </c>
      <c r="B1" s="2" t="s">
        <v>128</v>
      </c>
      <c r="C1" s="2" t="s">
        <v>208</v>
      </c>
      <c r="D1" s="2" t="s">
        <v>209</v>
      </c>
      <c r="E1" s="2" t="s">
        <v>132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</row>
    <row r="2" spans="1:12" ht="76" customHeight="1">
      <c r="A2" s="1" t="s">
        <v>217</v>
      </c>
      <c r="B2" s="1" t="s">
        <v>133</v>
      </c>
      <c r="C2" s="1">
        <v>1</v>
      </c>
      <c r="D2" s="4">
        <v>46283.459722222222</v>
      </c>
      <c r="E2" s="1" t="s">
        <v>218</v>
      </c>
      <c r="F2" s="1" t="s">
        <v>219</v>
      </c>
      <c r="G2" s="6" t="s">
        <v>220</v>
      </c>
      <c r="H2" s="6" t="s">
        <v>221</v>
      </c>
      <c r="I2" s="6">
        <v>10</v>
      </c>
      <c r="J2" s="7"/>
      <c r="K2" s="7"/>
      <c r="L2" s="6" t="s">
        <v>222</v>
      </c>
    </row>
    <row r="3" spans="1:12" ht="76" customHeight="1">
      <c r="A3" s="1" t="s">
        <v>223</v>
      </c>
      <c r="B3" s="1" t="s">
        <v>133</v>
      </c>
      <c r="C3" s="1">
        <v>2</v>
      </c>
      <c r="D3" s="4">
        <v>46283.466319444444</v>
      </c>
      <c r="E3" s="1" t="s">
        <v>224</v>
      </c>
      <c r="F3" s="1"/>
      <c r="G3" s="6"/>
      <c r="H3" s="6" t="s">
        <v>225</v>
      </c>
      <c r="I3" s="6">
        <v>0</v>
      </c>
      <c r="J3" s="7">
        <v>46283.466666666667</v>
      </c>
      <c r="K3" s="7">
        <v>46283.477083333331</v>
      </c>
      <c r="L3" s="6" t="s">
        <v>226</v>
      </c>
    </row>
    <row r="4" spans="1:12" ht="76" customHeight="1">
      <c r="A4" s="1" t="s">
        <v>227</v>
      </c>
      <c r="B4" s="1" t="s">
        <v>135</v>
      </c>
      <c r="C4" s="1">
        <v>1</v>
      </c>
      <c r="D4" s="4">
        <v>46283.460416666669</v>
      </c>
      <c r="E4" s="1" t="s">
        <v>218</v>
      </c>
      <c r="F4" s="1" t="s">
        <v>228</v>
      </c>
      <c r="G4" s="6" t="s">
        <v>229</v>
      </c>
      <c r="H4" s="6" t="s">
        <v>221</v>
      </c>
      <c r="I4" s="6">
        <v>10</v>
      </c>
      <c r="J4" s="7"/>
      <c r="K4" s="7"/>
      <c r="L4" s="6" t="s">
        <v>230</v>
      </c>
    </row>
    <row r="5" spans="1:12" ht="76" customHeight="1">
      <c r="A5" s="1" t="s">
        <v>231</v>
      </c>
      <c r="B5" s="1" t="s">
        <v>135</v>
      </c>
      <c r="C5" s="1">
        <v>2</v>
      </c>
      <c r="D5" s="4">
        <v>46283.467013888891</v>
      </c>
      <c r="E5" s="1" t="s">
        <v>224</v>
      </c>
      <c r="F5" s="1"/>
      <c r="G5" s="6"/>
      <c r="H5" s="6" t="s">
        <v>225</v>
      </c>
      <c r="I5" s="6">
        <v>0</v>
      </c>
      <c r="J5" s="7">
        <v>46283.467361111114</v>
      </c>
      <c r="K5" s="7">
        <v>46283.479861111111</v>
      </c>
      <c r="L5" s="6" t="s">
        <v>232</v>
      </c>
    </row>
    <row r="6" spans="1:12" ht="76" customHeight="1">
      <c r="A6" s="1" t="s">
        <v>233</v>
      </c>
      <c r="B6" s="1" t="s">
        <v>136</v>
      </c>
      <c r="C6" s="1">
        <v>1</v>
      </c>
      <c r="D6" s="4">
        <v>46283.461111111108</v>
      </c>
      <c r="E6" s="1" t="s">
        <v>218</v>
      </c>
      <c r="F6" s="1" t="s">
        <v>234</v>
      </c>
      <c r="G6" s="6" t="s">
        <v>235</v>
      </c>
      <c r="H6" s="6" t="s">
        <v>221</v>
      </c>
      <c r="I6" s="6">
        <v>10</v>
      </c>
      <c r="J6" s="7"/>
      <c r="K6" s="7"/>
      <c r="L6" s="6" t="s">
        <v>236</v>
      </c>
    </row>
    <row r="7" spans="1:12" ht="76" customHeight="1">
      <c r="A7" s="1" t="s">
        <v>237</v>
      </c>
      <c r="B7" s="1" t="s">
        <v>136</v>
      </c>
      <c r="C7" s="1">
        <v>2</v>
      </c>
      <c r="D7" s="4">
        <v>46283.46770833333</v>
      </c>
      <c r="E7" s="1" t="s">
        <v>224</v>
      </c>
      <c r="F7" s="1"/>
      <c r="G7" s="6"/>
      <c r="H7" s="6" t="s">
        <v>225</v>
      </c>
      <c r="I7" s="6">
        <v>0</v>
      </c>
      <c r="J7" s="7">
        <v>46283.468055555553</v>
      </c>
      <c r="K7" s="7">
        <v>46283.481944444444</v>
      </c>
      <c r="L7" s="6" t="s">
        <v>238</v>
      </c>
    </row>
    <row r="8" spans="1:12" ht="76" customHeight="1">
      <c r="A8" s="1" t="s">
        <v>239</v>
      </c>
      <c r="B8" s="1" t="s">
        <v>137</v>
      </c>
      <c r="C8" s="1">
        <v>1</v>
      </c>
      <c r="D8" s="4">
        <v>46283.461805555555</v>
      </c>
      <c r="E8" s="1" t="s">
        <v>218</v>
      </c>
      <c r="F8" s="1" t="s">
        <v>240</v>
      </c>
      <c r="G8" s="6" t="s">
        <v>241</v>
      </c>
      <c r="H8" s="6" t="s">
        <v>225</v>
      </c>
      <c r="I8" s="6">
        <v>10</v>
      </c>
      <c r="J8" s="7"/>
      <c r="K8" s="7"/>
      <c r="L8" s="6" t="s">
        <v>242</v>
      </c>
    </row>
    <row r="9" spans="1:12" ht="76" customHeight="1">
      <c r="A9" s="1" t="s">
        <v>243</v>
      </c>
      <c r="B9" s="1" t="s">
        <v>137</v>
      </c>
      <c r="C9" s="1">
        <v>2</v>
      </c>
      <c r="D9" s="4">
        <v>46283.468402777777</v>
      </c>
      <c r="E9" s="1" t="s">
        <v>224</v>
      </c>
      <c r="F9" s="1"/>
      <c r="G9" s="6"/>
      <c r="H9" s="6" t="s">
        <v>225</v>
      </c>
      <c r="I9" s="6">
        <v>0</v>
      </c>
      <c r="J9" s="7">
        <v>46283.46875</v>
      </c>
      <c r="K9" s="7">
        <v>46283.484722222223</v>
      </c>
      <c r="L9" s="6" t="s">
        <v>244</v>
      </c>
    </row>
    <row r="10" spans="1:12" ht="76" customHeight="1">
      <c r="A10" s="1" t="s">
        <v>245</v>
      </c>
      <c r="B10" s="1" t="s">
        <v>138</v>
      </c>
      <c r="C10" s="1">
        <v>1</v>
      </c>
      <c r="D10" s="4">
        <v>46283.462500000001</v>
      </c>
      <c r="E10" s="1" t="s">
        <v>218</v>
      </c>
      <c r="F10" s="1" t="s">
        <v>246</v>
      </c>
      <c r="G10" s="6" t="s">
        <v>247</v>
      </c>
      <c r="H10" s="6" t="s">
        <v>225</v>
      </c>
      <c r="I10" s="6">
        <v>10</v>
      </c>
      <c r="J10" s="7"/>
      <c r="K10" s="7"/>
      <c r="L10" s="6" t="s">
        <v>248</v>
      </c>
    </row>
    <row r="11" spans="1:12" ht="76" customHeight="1">
      <c r="A11" s="1" t="s">
        <v>249</v>
      </c>
      <c r="B11" s="1" t="s">
        <v>138</v>
      </c>
      <c r="C11" s="1">
        <v>2</v>
      </c>
      <c r="D11" s="4">
        <v>46283.469097222223</v>
      </c>
      <c r="E11" s="1" t="s">
        <v>224</v>
      </c>
      <c r="F11" s="1"/>
      <c r="G11" s="6"/>
      <c r="H11" s="6" t="s">
        <v>225</v>
      </c>
      <c r="I11" s="6">
        <v>0</v>
      </c>
      <c r="J11" s="7">
        <v>46283.469444444447</v>
      </c>
      <c r="K11" s="7">
        <v>46283.486805555556</v>
      </c>
      <c r="L11" s="6" t="s">
        <v>250</v>
      </c>
    </row>
    <row r="12" spans="1:12" ht="76" customHeight="1">
      <c r="A12" s="1" t="s">
        <v>251</v>
      </c>
      <c r="B12" s="1" t="s">
        <v>139</v>
      </c>
      <c r="C12" s="1">
        <v>1</v>
      </c>
      <c r="D12" s="4">
        <v>46283.463194444441</v>
      </c>
      <c r="E12" s="1" t="s">
        <v>218</v>
      </c>
      <c r="F12" s="1" t="s">
        <v>252</v>
      </c>
      <c r="G12" s="6" t="s">
        <v>253</v>
      </c>
      <c r="H12" s="6" t="s">
        <v>225</v>
      </c>
      <c r="I12" s="6">
        <v>10</v>
      </c>
      <c r="J12" s="7"/>
      <c r="K12" s="7"/>
      <c r="L12" s="6" t="s">
        <v>254</v>
      </c>
    </row>
    <row r="13" spans="1:12" ht="76" customHeight="1">
      <c r="A13" s="1" t="s">
        <v>255</v>
      </c>
      <c r="B13" s="1" t="s">
        <v>139</v>
      </c>
      <c r="C13" s="1">
        <v>2</v>
      </c>
      <c r="D13" s="4">
        <v>46283.46979166667</v>
      </c>
      <c r="E13" s="1" t="s">
        <v>224</v>
      </c>
      <c r="F13" s="1"/>
      <c r="G13" s="6"/>
      <c r="H13" s="6" t="s">
        <v>225</v>
      </c>
      <c r="I13" s="6">
        <v>0</v>
      </c>
      <c r="J13" s="7">
        <v>46283.470138888886</v>
      </c>
      <c r="K13" s="7">
        <v>46283.490277777775</v>
      </c>
      <c r="L13" s="6" t="s">
        <v>256</v>
      </c>
    </row>
    <row r="14" spans="1:12" ht="76" customHeight="1">
      <c r="A14" s="1" t="s">
        <v>257</v>
      </c>
      <c r="B14" s="1" t="s">
        <v>140</v>
      </c>
      <c r="C14" s="1">
        <v>1</v>
      </c>
      <c r="D14" s="4">
        <v>46283.463888888888</v>
      </c>
      <c r="E14" s="1" t="s">
        <v>224</v>
      </c>
      <c r="F14" s="1"/>
      <c r="G14" s="6"/>
      <c r="H14" s="6" t="s">
        <v>225</v>
      </c>
      <c r="I14" s="6">
        <v>0</v>
      </c>
      <c r="J14" s="7">
        <v>46283.464236111111</v>
      </c>
      <c r="K14" s="7">
        <v>46283.468402777777</v>
      </c>
      <c r="L14" s="6" t="s">
        <v>258</v>
      </c>
    </row>
    <row r="15" spans="1:12" ht="76" customHeight="1">
      <c r="A15" s="1" t="s">
        <v>259</v>
      </c>
      <c r="B15" s="1" t="s">
        <v>141</v>
      </c>
      <c r="C15" s="1">
        <v>1</v>
      </c>
      <c r="D15" s="4">
        <v>46283.464583333334</v>
      </c>
      <c r="E15" s="1" t="s">
        <v>224</v>
      </c>
      <c r="F15" s="1"/>
      <c r="G15" s="6"/>
      <c r="H15" s="6" t="s">
        <v>225</v>
      </c>
      <c r="I15" s="6">
        <v>0</v>
      </c>
      <c r="J15" s="7">
        <v>46283.464930555558</v>
      </c>
      <c r="K15" s="7">
        <v>46283.469097222223</v>
      </c>
      <c r="L15" s="6" t="s">
        <v>258</v>
      </c>
    </row>
    <row r="16" spans="1:12" ht="76" customHeight="1">
      <c r="A16" s="1" t="s">
        <v>260</v>
      </c>
      <c r="B16" s="1" t="s">
        <v>142</v>
      </c>
      <c r="C16" s="1">
        <v>1</v>
      </c>
      <c r="D16" s="4">
        <v>46283.465277777781</v>
      </c>
      <c r="E16" s="1" t="s">
        <v>224</v>
      </c>
      <c r="F16" s="1"/>
      <c r="G16" s="6"/>
      <c r="H16" s="6" t="s">
        <v>225</v>
      </c>
      <c r="I16" s="6">
        <v>0</v>
      </c>
      <c r="J16" s="7">
        <v>46283.465624999997</v>
      </c>
      <c r="K16" s="7">
        <v>46283.46979166667</v>
      </c>
      <c r="L16" s="6" t="s">
        <v>258</v>
      </c>
    </row>
    <row r="17" spans="1:12" ht="76" customHeight="1">
      <c r="A17" s="1" t="s">
        <v>261</v>
      </c>
      <c r="B17" s="1" t="s">
        <v>143</v>
      </c>
      <c r="C17" s="1">
        <v>1</v>
      </c>
      <c r="D17" s="4">
        <v>46283.46597222222</v>
      </c>
      <c r="E17" s="1" t="s">
        <v>224</v>
      </c>
      <c r="F17" s="1"/>
      <c r="G17" s="6"/>
      <c r="H17" s="6" t="s">
        <v>225</v>
      </c>
      <c r="I17" s="6">
        <v>0</v>
      </c>
      <c r="J17" s="7">
        <v>46283.466319444444</v>
      </c>
      <c r="K17" s="7">
        <v>46283.470486111109</v>
      </c>
      <c r="L17" s="6" t="s">
        <v>258</v>
      </c>
    </row>
    <row r="18" spans="1:12" ht="76" customHeight="1">
      <c r="A18" s="1" t="s">
        <v>262</v>
      </c>
      <c r="B18" s="1" t="s">
        <v>144</v>
      </c>
      <c r="C18" s="1">
        <v>1</v>
      </c>
      <c r="D18" s="4">
        <v>46283.466666666667</v>
      </c>
      <c r="E18" s="1" t="s">
        <v>224</v>
      </c>
      <c r="F18" s="1"/>
      <c r="G18" s="6"/>
      <c r="H18" s="6" t="s">
        <v>225</v>
      </c>
      <c r="I18" s="6">
        <v>0</v>
      </c>
      <c r="J18" s="7">
        <v>46283.467013888891</v>
      </c>
      <c r="K18" s="7">
        <v>46283.471180555556</v>
      </c>
      <c r="L18" s="6" t="s">
        <v>258</v>
      </c>
    </row>
    <row r="19" spans="1:12" ht="76" customHeight="1">
      <c r="A19" s="1" t="s">
        <v>263</v>
      </c>
      <c r="B19" s="1" t="s">
        <v>145</v>
      </c>
      <c r="C19" s="1">
        <v>1</v>
      </c>
      <c r="D19" s="4">
        <v>46283.467361111114</v>
      </c>
      <c r="E19" s="1" t="s">
        <v>224</v>
      </c>
      <c r="F19" s="1"/>
      <c r="G19" s="6"/>
      <c r="H19" s="6" t="s">
        <v>225</v>
      </c>
      <c r="I19" s="6">
        <v>0</v>
      </c>
      <c r="J19" s="7">
        <v>46283.46770833333</v>
      </c>
      <c r="K19" s="7">
        <v>46283.471875000003</v>
      </c>
      <c r="L19" s="6" t="s">
        <v>258</v>
      </c>
    </row>
    <row r="20" spans="1:12" ht="76" customHeight="1">
      <c r="A20" s="1" t="s">
        <v>264</v>
      </c>
      <c r="B20" s="1" t="s">
        <v>146</v>
      </c>
      <c r="C20" s="1">
        <v>1</v>
      </c>
      <c r="D20" s="4">
        <v>46283.468055555553</v>
      </c>
      <c r="E20" s="1" t="s">
        <v>224</v>
      </c>
      <c r="F20" s="1"/>
      <c r="G20" s="6"/>
      <c r="H20" s="6" t="s">
        <v>225</v>
      </c>
      <c r="I20" s="6">
        <v>0</v>
      </c>
      <c r="J20" s="7">
        <v>46283.468402777777</v>
      </c>
      <c r="K20" s="7">
        <v>46283.472569444442</v>
      </c>
      <c r="L20" s="6" t="s">
        <v>258</v>
      </c>
    </row>
    <row r="21" spans="1:12" ht="76" customHeight="1">
      <c r="A21" s="1" t="s">
        <v>265</v>
      </c>
      <c r="B21" s="1" t="s">
        <v>147</v>
      </c>
      <c r="C21" s="1">
        <v>1</v>
      </c>
      <c r="D21" s="4">
        <v>46283.46875</v>
      </c>
      <c r="E21" s="1" t="s">
        <v>224</v>
      </c>
      <c r="F21" s="1"/>
      <c r="G21" s="6"/>
      <c r="H21" s="6" t="s">
        <v>225</v>
      </c>
      <c r="I21" s="6">
        <v>0</v>
      </c>
      <c r="J21" s="7">
        <v>46283.469097222223</v>
      </c>
      <c r="K21" s="7">
        <v>46283.473263888889</v>
      </c>
      <c r="L21" s="6" t="s">
        <v>258</v>
      </c>
    </row>
    <row r="22" spans="1:12" ht="76" customHeight="1">
      <c r="A22" s="1" t="s">
        <v>266</v>
      </c>
      <c r="B22" s="1" t="s">
        <v>148</v>
      </c>
      <c r="C22" s="1">
        <v>1</v>
      </c>
      <c r="D22" s="4">
        <v>46283.469444444447</v>
      </c>
      <c r="E22" s="1" t="s">
        <v>224</v>
      </c>
      <c r="F22" s="1"/>
      <c r="G22" s="6"/>
      <c r="H22" s="6" t="s">
        <v>225</v>
      </c>
      <c r="I22" s="6">
        <v>0</v>
      </c>
      <c r="J22" s="7">
        <v>46283.46979166667</v>
      </c>
      <c r="K22" s="7">
        <v>46283.473958333336</v>
      </c>
      <c r="L22" s="6" t="s">
        <v>258</v>
      </c>
    </row>
    <row r="23" spans="1:12" ht="76" customHeight="1">
      <c r="A23" s="1" t="s">
        <v>267</v>
      </c>
      <c r="B23" s="1" t="s">
        <v>149</v>
      </c>
      <c r="C23" s="1">
        <v>1</v>
      </c>
      <c r="D23" s="4">
        <v>46283.470138888886</v>
      </c>
      <c r="E23" s="1" t="s">
        <v>224</v>
      </c>
      <c r="F23" s="1"/>
      <c r="G23" s="6"/>
      <c r="H23" s="6" t="s">
        <v>225</v>
      </c>
      <c r="I23" s="6">
        <v>0</v>
      </c>
      <c r="J23" s="7">
        <v>46283.470486111109</v>
      </c>
      <c r="K23" s="7">
        <v>46283.474652777775</v>
      </c>
      <c r="L23" s="6" t="s">
        <v>258</v>
      </c>
    </row>
    <row r="24" spans="1:12" ht="76" customHeight="1">
      <c r="A24" s="1" t="s">
        <v>268</v>
      </c>
      <c r="B24" s="1" t="s">
        <v>150</v>
      </c>
      <c r="C24" s="1">
        <v>1</v>
      </c>
      <c r="D24" s="4">
        <v>46283.470833333333</v>
      </c>
      <c r="E24" s="1" t="s">
        <v>224</v>
      </c>
      <c r="F24" s="1"/>
      <c r="G24" s="6"/>
      <c r="H24" s="6" t="s">
        <v>225</v>
      </c>
      <c r="I24" s="6">
        <v>0</v>
      </c>
      <c r="J24" s="7">
        <v>46283.471180555556</v>
      </c>
      <c r="K24" s="7">
        <v>46283.475347222222</v>
      </c>
      <c r="L24" s="6" t="s">
        <v>258</v>
      </c>
    </row>
    <row r="25" spans="1:12" ht="76" customHeight="1">
      <c r="A25" s="1" t="s">
        <v>269</v>
      </c>
      <c r="B25" s="1" t="s">
        <v>151</v>
      </c>
      <c r="C25" s="1">
        <v>1</v>
      </c>
      <c r="D25" s="4">
        <v>46283.47152777778</v>
      </c>
      <c r="E25" s="1" t="s">
        <v>224</v>
      </c>
      <c r="F25" s="1"/>
      <c r="G25" s="6"/>
      <c r="H25" s="6" t="s">
        <v>225</v>
      </c>
      <c r="I25" s="6">
        <v>0</v>
      </c>
      <c r="J25" s="7">
        <v>46283.471875000003</v>
      </c>
      <c r="K25" s="7">
        <v>46283.476041666669</v>
      </c>
      <c r="L25" s="6" t="s">
        <v>258</v>
      </c>
    </row>
    <row r="26" spans="1:12" ht="76" customHeight="1">
      <c r="A26" s="1" t="s">
        <v>270</v>
      </c>
      <c r="B26" s="1" t="s">
        <v>152</v>
      </c>
      <c r="C26" s="1">
        <v>1</v>
      </c>
      <c r="D26" s="4">
        <v>46283.472222222219</v>
      </c>
      <c r="E26" s="1" t="s">
        <v>224</v>
      </c>
      <c r="F26" s="1"/>
      <c r="G26" s="6"/>
      <c r="H26" s="6" t="s">
        <v>225</v>
      </c>
      <c r="I26" s="6">
        <v>0</v>
      </c>
      <c r="J26" s="7">
        <v>46283.472569444442</v>
      </c>
      <c r="K26" s="7">
        <v>46283.476736111108</v>
      </c>
      <c r="L26" s="6" t="s">
        <v>258</v>
      </c>
    </row>
    <row r="27" spans="1:12" ht="76" customHeight="1">
      <c r="A27" s="1" t="s">
        <v>271</v>
      </c>
      <c r="B27" s="1" t="s">
        <v>153</v>
      </c>
      <c r="C27" s="1">
        <v>1</v>
      </c>
      <c r="D27" s="4">
        <v>46283.472916666666</v>
      </c>
      <c r="E27" s="1" t="s">
        <v>224</v>
      </c>
      <c r="F27" s="1"/>
      <c r="G27" s="6"/>
      <c r="H27" s="6" t="s">
        <v>225</v>
      </c>
      <c r="I27" s="6">
        <v>0</v>
      </c>
      <c r="J27" s="7">
        <v>46283.473263888889</v>
      </c>
      <c r="K27" s="7">
        <v>46283.477430555555</v>
      </c>
      <c r="L27" s="6" t="s">
        <v>258</v>
      </c>
    </row>
    <row r="28" spans="1:12" ht="76" customHeight="1">
      <c r="A28" s="1" t="s">
        <v>272</v>
      </c>
      <c r="B28" s="1" t="s">
        <v>154</v>
      </c>
      <c r="C28" s="1">
        <v>1</v>
      </c>
      <c r="D28" s="4">
        <v>46283.473611111112</v>
      </c>
      <c r="E28" s="1" t="s">
        <v>224</v>
      </c>
      <c r="F28" s="1"/>
      <c r="G28" s="6"/>
      <c r="H28" s="6" t="s">
        <v>225</v>
      </c>
      <c r="I28" s="6">
        <v>0</v>
      </c>
      <c r="J28" s="7">
        <v>46283.473958333336</v>
      </c>
      <c r="K28" s="7">
        <v>46283.478125000001</v>
      </c>
      <c r="L28" s="6" t="s">
        <v>258</v>
      </c>
    </row>
    <row r="29" spans="1:12" ht="76" customHeight="1">
      <c r="A29" s="1" t="s">
        <v>273</v>
      </c>
      <c r="B29" s="1" t="s">
        <v>155</v>
      </c>
      <c r="C29" s="1">
        <v>1</v>
      </c>
      <c r="D29" s="4">
        <v>46283.474305555559</v>
      </c>
      <c r="E29" s="1" t="s">
        <v>224</v>
      </c>
      <c r="F29" s="1"/>
      <c r="G29" s="6"/>
      <c r="H29" s="6" t="s">
        <v>225</v>
      </c>
      <c r="I29" s="6">
        <v>0</v>
      </c>
      <c r="J29" s="7">
        <v>46283.474652777775</v>
      </c>
      <c r="K29" s="7">
        <v>46283.478819444441</v>
      </c>
      <c r="L29" s="6" t="s">
        <v>258</v>
      </c>
    </row>
    <row r="30" spans="1:12" ht="76" customHeight="1">
      <c r="A30" s="1" t="s">
        <v>274</v>
      </c>
      <c r="B30" s="1" t="s">
        <v>156</v>
      </c>
      <c r="C30" s="1">
        <v>1</v>
      </c>
      <c r="D30" s="4">
        <v>46283.474999999999</v>
      </c>
      <c r="E30" s="1" t="s">
        <v>224</v>
      </c>
      <c r="F30" s="1"/>
      <c r="G30" s="6"/>
      <c r="H30" s="6" t="s">
        <v>225</v>
      </c>
      <c r="I30" s="6">
        <v>0</v>
      </c>
      <c r="J30" s="7">
        <v>46283.475347222222</v>
      </c>
      <c r="K30" s="7">
        <v>46283.479513888888</v>
      </c>
      <c r="L30" s="6" t="s">
        <v>258</v>
      </c>
    </row>
    <row r="31" spans="1:12" ht="76" customHeight="1">
      <c r="A31" s="1" t="s">
        <v>275</v>
      </c>
      <c r="B31" s="1" t="s">
        <v>157</v>
      </c>
      <c r="C31" s="1">
        <v>1</v>
      </c>
      <c r="D31" s="4">
        <v>46283.475694444445</v>
      </c>
      <c r="E31" s="1" t="s">
        <v>224</v>
      </c>
      <c r="F31" s="1"/>
      <c r="G31" s="6"/>
      <c r="H31" s="6" t="s">
        <v>225</v>
      </c>
      <c r="I31" s="6">
        <v>0</v>
      </c>
      <c r="J31" s="7">
        <v>46283.476041666669</v>
      </c>
      <c r="K31" s="7">
        <v>46283.480208333334</v>
      </c>
      <c r="L31" s="6" t="s">
        <v>258</v>
      </c>
    </row>
    <row r="32" spans="1:12" ht="76" customHeight="1">
      <c r="A32" s="1" t="s">
        <v>276</v>
      </c>
      <c r="B32" s="1" t="s">
        <v>158</v>
      </c>
      <c r="C32" s="1">
        <v>1</v>
      </c>
      <c r="D32" s="4">
        <v>46283.476388888892</v>
      </c>
      <c r="E32" s="1" t="s">
        <v>224</v>
      </c>
      <c r="F32" s="1"/>
      <c r="G32" s="6"/>
      <c r="H32" s="6" t="s">
        <v>225</v>
      </c>
      <c r="I32" s="6">
        <v>0</v>
      </c>
      <c r="J32" s="7">
        <v>46283.476736111108</v>
      </c>
      <c r="K32" s="7">
        <v>46283.480902777781</v>
      </c>
      <c r="L32" s="6" t="s">
        <v>258</v>
      </c>
    </row>
    <row r="33" spans="1:12" ht="76" customHeight="1">
      <c r="A33" s="1" t="s">
        <v>277</v>
      </c>
      <c r="B33" s="1" t="s">
        <v>159</v>
      </c>
      <c r="C33" s="1">
        <v>1</v>
      </c>
      <c r="D33" s="4">
        <v>46283.477083333331</v>
      </c>
      <c r="E33" s="1" t="s">
        <v>224</v>
      </c>
      <c r="F33" s="1"/>
      <c r="G33" s="6"/>
      <c r="H33" s="6" t="s">
        <v>225</v>
      </c>
      <c r="I33" s="6">
        <v>0</v>
      </c>
      <c r="J33" s="7">
        <v>46283.477430555555</v>
      </c>
      <c r="K33" s="7">
        <v>46283.48159722222</v>
      </c>
      <c r="L33" s="6" t="s">
        <v>258</v>
      </c>
    </row>
    <row r="34" spans="1:12" ht="76" customHeight="1">
      <c r="A34" s="1" t="s">
        <v>278</v>
      </c>
      <c r="B34" s="1" t="s">
        <v>160</v>
      </c>
      <c r="C34" s="1">
        <v>1</v>
      </c>
      <c r="D34" s="4">
        <v>46283.477777777778</v>
      </c>
      <c r="E34" s="1" t="s">
        <v>224</v>
      </c>
      <c r="F34" s="1"/>
      <c r="G34" s="6"/>
      <c r="H34" s="6" t="s">
        <v>225</v>
      </c>
      <c r="I34" s="6">
        <v>0</v>
      </c>
      <c r="J34" s="7">
        <v>46283.478125000001</v>
      </c>
      <c r="K34" s="7">
        <v>46283.482291666667</v>
      </c>
      <c r="L34" s="6" t="s">
        <v>258</v>
      </c>
    </row>
    <row r="35" spans="1:12" ht="76" customHeight="1">
      <c r="A35" s="1" t="s">
        <v>279</v>
      </c>
      <c r="B35" s="1" t="s">
        <v>161</v>
      </c>
      <c r="C35" s="1">
        <v>1</v>
      </c>
      <c r="D35" s="4">
        <v>46283.478472222225</v>
      </c>
      <c r="E35" s="1" t="s">
        <v>224</v>
      </c>
      <c r="F35" s="1"/>
      <c r="G35" s="6"/>
      <c r="H35" s="6" t="s">
        <v>225</v>
      </c>
      <c r="I35" s="6">
        <v>0</v>
      </c>
      <c r="J35" s="7">
        <v>46283.478819444441</v>
      </c>
      <c r="K35" s="7">
        <v>46283.482986111114</v>
      </c>
      <c r="L35" s="6" t="s">
        <v>258</v>
      </c>
    </row>
    <row r="36" spans="1:12" ht="76" customHeight="1">
      <c r="A36" s="1" t="s">
        <v>280</v>
      </c>
      <c r="B36" s="1" t="s">
        <v>162</v>
      </c>
      <c r="C36" s="1">
        <v>1</v>
      </c>
      <c r="D36" s="4">
        <v>46283.479166666664</v>
      </c>
      <c r="E36" s="1" t="s">
        <v>224</v>
      </c>
      <c r="F36" s="1"/>
      <c r="G36" s="6"/>
      <c r="H36" s="6" t="s">
        <v>225</v>
      </c>
      <c r="I36" s="6">
        <v>0</v>
      </c>
      <c r="J36" s="7">
        <v>46283.479513888888</v>
      </c>
      <c r="K36" s="7">
        <v>46283.483680555553</v>
      </c>
      <c r="L36" s="6" t="s">
        <v>258</v>
      </c>
    </row>
    <row r="37" spans="1:12" ht="76" customHeight="1">
      <c r="A37" s="1" t="s">
        <v>281</v>
      </c>
      <c r="B37" s="1" t="s">
        <v>163</v>
      </c>
      <c r="C37" s="1">
        <v>1</v>
      </c>
      <c r="D37" s="4">
        <v>46283.479861111111</v>
      </c>
      <c r="E37" s="1" t="s">
        <v>224</v>
      </c>
      <c r="F37" s="1"/>
      <c r="G37" s="6"/>
      <c r="H37" s="6" t="s">
        <v>225</v>
      </c>
      <c r="I37" s="6">
        <v>0</v>
      </c>
      <c r="J37" s="7">
        <v>46283.480208333334</v>
      </c>
      <c r="K37" s="7">
        <v>46283.484375</v>
      </c>
      <c r="L37" s="6" t="s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3" width="25" customWidth="1"/>
    <col min="4" max="6" width="20" customWidth="1"/>
  </cols>
  <sheetData>
    <row r="1" spans="1:6" ht="38" customHeight="1">
      <c r="A1" s="2" t="s">
        <v>282</v>
      </c>
      <c r="B1" s="2" t="s">
        <v>128</v>
      </c>
      <c r="C1" s="2" t="s">
        <v>283</v>
      </c>
      <c r="D1" s="2" t="s">
        <v>284</v>
      </c>
      <c r="E1" s="2" t="s">
        <v>285</v>
      </c>
      <c r="F1" s="2" t="s">
        <v>132</v>
      </c>
    </row>
    <row r="2" spans="1:6" ht="27" customHeight="1">
      <c r="A2" s="1" t="s">
        <v>286</v>
      </c>
      <c r="B2" s="1" t="s">
        <v>133</v>
      </c>
      <c r="C2" s="4">
        <v>46283.459085648145</v>
      </c>
      <c r="D2" s="1" t="s">
        <v>287</v>
      </c>
      <c r="E2" s="5">
        <v>13.5</v>
      </c>
      <c r="F2" s="1" t="s">
        <v>288</v>
      </c>
    </row>
    <row r="3" spans="1:6" ht="27" customHeight="1">
      <c r="A3" s="1" t="s">
        <v>289</v>
      </c>
      <c r="B3" s="1" t="s">
        <v>135</v>
      </c>
      <c r="C3" s="4">
        <v>46283.459780092591</v>
      </c>
      <c r="D3" s="1" t="s">
        <v>287</v>
      </c>
      <c r="E3" s="5">
        <v>13</v>
      </c>
      <c r="F3" s="1" t="s">
        <v>288</v>
      </c>
    </row>
    <row r="4" spans="1:6" ht="27" customHeight="1">
      <c r="A4" s="1" t="s">
        <v>290</v>
      </c>
      <c r="B4" s="1" t="s">
        <v>136</v>
      </c>
      <c r="C4" s="4">
        <v>46283.460474537038</v>
      </c>
      <c r="D4" s="1" t="s">
        <v>287</v>
      </c>
      <c r="E4" s="5">
        <v>14.5</v>
      </c>
      <c r="F4" s="1" t="s">
        <v>288</v>
      </c>
    </row>
    <row r="5" spans="1:6" ht="27" customHeight="1">
      <c r="A5" s="1" t="s">
        <v>291</v>
      </c>
      <c r="B5" s="1" t="s">
        <v>137</v>
      </c>
      <c r="C5" s="4">
        <v>46283.461168981485</v>
      </c>
      <c r="D5" s="1" t="s">
        <v>287</v>
      </c>
      <c r="E5" s="5">
        <v>12.5</v>
      </c>
      <c r="F5" s="1" t="s">
        <v>288</v>
      </c>
    </row>
    <row r="6" spans="1:6" ht="27" customHeight="1">
      <c r="A6" s="1" t="s">
        <v>292</v>
      </c>
      <c r="B6" s="1" t="s">
        <v>138</v>
      </c>
      <c r="C6" s="4">
        <v>46283.461863425924</v>
      </c>
      <c r="D6" s="1" t="s">
        <v>287</v>
      </c>
      <c r="E6" s="5">
        <v>14</v>
      </c>
      <c r="F6" s="1" t="s">
        <v>288</v>
      </c>
    </row>
    <row r="7" spans="1:6" ht="27" customHeight="1">
      <c r="A7" s="1" t="s">
        <v>293</v>
      </c>
      <c r="B7" s="1" t="s">
        <v>139</v>
      </c>
      <c r="C7" s="4">
        <v>46283.462557870371</v>
      </c>
      <c r="D7" s="1" t="s">
        <v>287</v>
      </c>
      <c r="E7" s="5">
        <v>13.5</v>
      </c>
      <c r="F7" s="1" t="s">
        <v>288</v>
      </c>
    </row>
    <row r="8" spans="1:6" ht="27" customHeight="1">
      <c r="A8" s="1" t="s">
        <v>294</v>
      </c>
      <c r="B8" s="1" t="s">
        <v>140</v>
      </c>
      <c r="C8" s="4">
        <v>46283.463252314818</v>
      </c>
      <c r="D8" s="1" t="s">
        <v>287</v>
      </c>
      <c r="E8" s="5">
        <v>13.5</v>
      </c>
      <c r="F8" s="1" t="s">
        <v>288</v>
      </c>
    </row>
    <row r="9" spans="1:6" ht="27" customHeight="1">
      <c r="A9" s="1" t="s">
        <v>295</v>
      </c>
      <c r="B9" s="1" t="s">
        <v>141</v>
      </c>
      <c r="C9" s="4">
        <v>46283.463946759257</v>
      </c>
      <c r="D9" s="1" t="s">
        <v>287</v>
      </c>
      <c r="E9" s="5">
        <v>13</v>
      </c>
      <c r="F9" s="1" t="s">
        <v>288</v>
      </c>
    </row>
    <row r="10" spans="1:6" ht="27" customHeight="1">
      <c r="A10" s="1" t="s">
        <v>296</v>
      </c>
      <c r="B10" s="1" t="s">
        <v>142</v>
      </c>
      <c r="C10" s="4">
        <v>46283.464641203704</v>
      </c>
      <c r="D10" s="1" t="s">
        <v>287</v>
      </c>
      <c r="E10" s="5">
        <v>14.5</v>
      </c>
      <c r="F10" s="1" t="s">
        <v>288</v>
      </c>
    </row>
    <row r="11" spans="1:6" ht="27" customHeight="1">
      <c r="A11" s="1" t="s">
        <v>297</v>
      </c>
      <c r="B11" s="1" t="s">
        <v>143</v>
      </c>
      <c r="C11" s="4">
        <v>46283.46533564815</v>
      </c>
      <c r="D11" s="1" t="s">
        <v>287</v>
      </c>
      <c r="E11" s="5">
        <v>12.5</v>
      </c>
      <c r="F11" s="1" t="s">
        <v>288</v>
      </c>
    </row>
    <row r="12" spans="1:6" ht="27" customHeight="1">
      <c r="A12" s="1" t="s">
        <v>298</v>
      </c>
      <c r="B12" s="1" t="s">
        <v>144</v>
      </c>
      <c r="C12" s="4">
        <v>46283.46603009259</v>
      </c>
      <c r="D12" s="1" t="s">
        <v>287</v>
      </c>
      <c r="E12" s="5">
        <v>14</v>
      </c>
      <c r="F12" s="1" t="s">
        <v>288</v>
      </c>
    </row>
    <row r="13" spans="1:6" ht="27" customHeight="1">
      <c r="A13" s="1" t="s">
        <v>299</v>
      </c>
      <c r="B13" s="1" t="s">
        <v>145</v>
      </c>
      <c r="C13" s="4">
        <v>46283.466724537036</v>
      </c>
      <c r="D13" s="1" t="s">
        <v>287</v>
      </c>
      <c r="E13" s="5">
        <v>13.5</v>
      </c>
      <c r="F13" s="1" t="s">
        <v>288</v>
      </c>
    </row>
    <row r="14" spans="1:6" ht="27" customHeight="1">
      <c r="A14" s="1" t="s">
        <v>300</v>
      </c>
      <c r="B14" s="1" t="s">
        <v>146</v>
      </c>
      <c r="C14" s="4">
        <v>46283.467418981483</v>
      </c>
      <c r="D14" s="1" t="s">
        <v>287</v>
      </c>
      <c r="E14" s="5">
        <v>15</v>
      </c>
      <c r="F14" s="1" t="s">
        <v>288</v>
      </c>
    </row>
    <row r="15" spans="1:6" ht="27" customHeight="1">
      <c r="A15" s="1" t="s">
        <v>301</v>
      </c>
      <c r="B15" s="1" t="s">
        <v>147</v>
      </c>
      <c r="C15" s="4">
        <v>46283.468113425923</v>
      </c>
      <c r="D15" s="1" t="s">
        <v>287</v>
      </c>
      <c r="E15" s="5">
        <v>13</v>
      </c>
      <c r="F15" s="1" t="s">
        <v>288</v>
      </c>
    </row>
    <row r="16" spans="1:6" ht="27" customHeight="1">
      <c r="A16" s="1" t="s">
        <v>302</v>
      </c>
      <c r="B16" s="1" t="s">
        <v>148</v>
      </c>
      <c r="C16" s="4">
        <v>46283.468807870369</v>
      </c>
      <c r="D16" s="1" t="s">
        <v>287</v>
      </c>
      <c r="E16" s="5">
        <v>14.5</v>
      </c>
      <c r="F16" s="1" t="s">
        <v>288</v>
      </c>
    </row>
    <row r="17" spans="1:6" ht="27" customHeight="1">
      <c r="A17" s="1" t="s">
        <v>303</v>
      </c>
      <c r="B17" s="1" t="s">
        <v>149</v>
      </c>
      <c r="C17" s="4">
        <v>46283.469502314816</v>
      </c>
      <c r="D17" s="1" t="s">
        <v>287</v>
      </c>
      <c r="E17" s="5">
        <v>12</v>
      </c>
      <c r="F17" s="1" t="s">
        <v>288</v>
      </c>
    </row>
    <row r="18" spans="1:6" ht="27" customHeight="1">
      <c r="A18" s="1" t="s">
        <v>304</v>
      </c>
      <c r="B18" s="1" t="s">
        <v>150</v>
      </c>
      <c r="C18" s="4">
        <v>46283.470196759263</v>
      </c>
      <c r="D18" s="1" t="s">
        <v>287</v>
      </c>
      <c r="E18" s="5">
        <v>13</v>
      </c>
      <c r="F18" s="1" t="s">
        <v>288</v>
      </c>
    </row>
    <row r="19" spans="1:6" ht="27" customHeight="1">
      <c r="A19" s="1" t="s">
        <v>305</v>
      </c>
      <c r="B19" s="1" t="s">
        <v>151</v>
      </c>
      <c r="C19" s="4">
        <v>46283.470891203702</v>
      </c>
      <c r="D19" s="1" t="s">
        <v>287</v>
      </c>
      <c r="E19" s="5">
        <v>12.5</v>
      </c>
      <c r="F19" s="1" t="s">
        <v>288</v>
      </c>
    </row>
    <row r="20" spans="1:6" ht="27" customHeight="1">
      <c r="A20" s="1" t="s">
        <v>306</v>
      </c>
      <c r="B20" s="1" t="s">
        <v>152</v>
      </c>
      <c r="C20" s="4">
        <v>46283.471585648149</v>
      </c>
      <c r="D20" s="1" t="s">
        <v>287</v>
      </c>
      <c r="E20" s="5">
        <v>14</v>
      </c>
      <c r="F20" s="1" t="s">
        <v>288</v>
      </c>
    </row>
    <row r="21" spans="1:6" ht="27" customHeight="1">
      <c r="A21" s="1" t="s">
        <v>307</v>
      </c>
      <c r="B21" s="1" t="s">
        <v>153</v>
      </c>
      <c r="C21" s="4">
        <v>46283.472280092596</v>
      </c>
      <c r="D21" s="1" t="s">
        <v>287</v>
      </c>
      <c r="E21" s="5">
        <v>15.5</v>
      </c>
      <c r="F21" s="1" t="s">
        <v>288</v>
      </c>
    </row>
    <row r="22" spans="1:6" ht="27" customHeight="1">
      <c r="A22" s="1" t="s">
        <v>308</v>
      </c>
      <c r="B22" s="1" t="s">
        <v>154</v>
      </c>
      <c r="C22" s="4">
        <v>46283.472974537035</v>
      </c>
      <c r="D22" s="1" t="s">
        <v>287</v>
      </c>
      <c r="E22" s="5">
        <v>13.5</v>
      </c>
      <c r="F22" s="1" t="s">
        <v>288</v>
      </c>
    </row>
    <row r="23" spans="1:6" ht="27" customHeight="1">
      <c r="A23" s="1" t="s">
        <v>309</v>
      </c>
      <c r="B23" s="1" t="s">
        <v>155</v>
      </c>
      <c r="C23" s="4">
        <v>46283.473668981482</v>
      </c>
      <c r="D23" s="1" t="s">
        <v>287</v>
      </c>
      <c r="E23" s="5">
        <v>13</v>
      </c>
      <c r="F23" s="1" t="s">
        <v>288</v>
      </c>
    </row>
    <row r="24" spans="1:6" ht="27" customHeight="1">
      <c r="A24" s="1" t="s">
        <v>310</v>
      </c>
      <c r="B24" s="1" t="s">
        <v>156</v>
      </c>
      <c r="C24" s="4">
        <v>46283.474363425928</v>
      </c>
      <c r="D24" s="1" t="s">
        <v>287</v>
      </c>
      <c r="E24" s="5">
        <v>14.5</v>
      </c>
      <c r="F24" s="1" t="s">
        <v>288</v>
      </c>
    </row>
    <row r="25" spans="1:6" ht="27" customHeight="1">
      <c r="A25" s="1" t="s">
        <v>311</v>
      </c>
      <c r="B25" s="1" t="s">
        <v>157</v>
      </c>
      <c r="C25" s="4">
        <v>46283.475057870368</v>
      </c>
      <c r="D25" s="1" t="s">
        <v>287</v>
      </c>
      <c r="E25" s="5">
        <v>12.5</v>
      </c>
      <c r="F25" s="1" t="s">
        <v>288</v>
      </c>
    </row>
    <row r="26" spans="1:6" ht="27" customHeight="1">
      <c r="A26" s="1" t="s">
        <v>312</v>
      </c>
      <c r="B26" s="1" t="s">
        <v>158</v>
      </c>
      <c r="C26" s="4">
        <v>46283.475752314815</v>
      </c>
      <c r="D26" s="1" t="s">
        <v>287</v>
      </c>
      <c r="E26" s="5">
        <v>27</v>
      </c>
      <c r="F26" s="1" t="s">
        <v>288</v>
      </c>
    </row>
    <row r="27" spans="1:6" ht="27" customHeight="1">
      <c r="A27" s="1" t="s">
        <v>313</v>
      </c>
      <c r="B27" s="1" t="s">
        <v>159</v>
      </c>
      <c r="C27" s="4">
        <v>46283.476446759261</v>
      </c>
      <c r="D27" s="1" t="s">
        <v>287</v>
      </c>
      <c r="E27" s="5">
        <v>26</v>
      </c>
      <c r="F27" s="1" t="s">
        <v>288</v>
      </c>
    </row>
    <row r="28" spans="1:6" ht="27" customHeight="1">
      <c r="A28" s="1" t="s">
        <v>314</v>
      </c>
      <c r="B28" s="1" t="s">
        <v>160</v>
      </c>
      <c r="C28" s="4">
        <v>46283.477141203701</v>
      </c>
      <c r="D28" s="1" t="s">
        <v>287</v>
      </c>
      <c r="E28" s="5">
        <v>29</v>
      </c>
      <c r="F28" s="1" t="s">
        <v>288</v>
      </c>
    </row>
    <row r="29" spans="1:6" ht="27" customHeight="1">
      <c r="A29" s="1" t="s">
        <v>315</v>
      </c>
      <c r="B29" s="1" t="s">
        <v>161</v>
      </c>
      <c r="C29" s="4">
        <v>46283.477835648147</v>
      </c>
      <c r="D29" s="1" t="s">
        <v>287</v>
      </c>
      <c r="E29" s="5">
        <v>28.5</v>
      </c>
      <c r="F29" s="1" t="s">
        <v>288</v>
      </c>
    </row>
    <row r="30" spans="1:6" ht="27" customHeight="1">
      <c r="A30" s="1" t="s">
        <v>316</v>
      </c>
      <c r="B30" s="1" t="s">
        <v>162</v>
      </c>
      <c r="C30" s="4">
        <v>46283.478530092594</v>
      </c>
      <c r="D30" s="1" t="s">
        <v>287</v>
      </c>
      <c r="E30" s="5">
        <v>28</v>
      </c>
      <c r="F30" s="1" t="s">
        <v>288</v>
      </c>
    </row>
    <row r="31" spans="1:6" ht="27" customHeight="1">
      <c r="A31" s="1" t="s">
        <v>317</v>
      </c>
      <c r="B31" s="1" t="s">
        <v>163</v>
      </c>
      <c r="C31" s="4">
        <v>46283.479224537034</v>
      </c>
      <c r="D31" s="1" t="s">
        <v>287</v>
      </c>
      <c r="E31" s="5">
        <v>25</v>
      </c>
      <c r="F31" s="1" t="s">
        <v>288</v>
      </c>
    </row>
    <row r="32" spans="1:6" ht="27" customHeight="1">
      <c r="A32" s="1" t="s">
        <v>318</v>
      </c>
      <c r="B32" s="1" t="s">
        <v>133</v>
      </c>
      <c r="C32" s="4">
        <v>46283.477430555555</v>
      </c>
      <c r="D32" s="1" t="s">
        <v>319</v>
      </c>
      <c r="E32" s="5">
        <v>3</v>
      </c>
      <c r="F32" s="1" t="s">
        <v>288</v>
      </c>
    </row>
    <row r="33" spans="1:6" ht="27" customHeight="1">
      <c r="A33" s="1" t="s">
        <v>320</v>
      </c>
      <c r="B33" s="1" t="s">
        <v>135</v>
      </c>
      <c r="C33" s="4">
        <v>46283.480208333334</v>
      </c>
      <c r="D33" s="1" t="s">
        <v>319</v>
      </c>
      <c r="E33" s="5">
        <v>3</v>
      </c>
      <c r="F33" s="1" t="s">
        <v>288</v>
      </c>
    </row>
    <row r="34" spans="1:6" ht="27" customHeight="1">
      <c r="A34" s="1" t="s">
        <v>321</v>
      </c>
      <c r="B34" s="1" t="s">
        <v>136</v>
      </c>
      <c r="C34" s="4">
        <v>46283.482291666667</v>
      </c>
      <c r="D34" s="1" t="s">
        <v>319</v>
      </c>
      <c r="E34" s="5">
        <v>3</v>
      </c>
      <c r="F34" s="1" t="s">
        <v>288</v>
      </c>
    </row>
    <row r="35" spans="1:6" ht="27" customHeight="1">
      <c r="A35" s="1" t="s">
        <v>322</v>
      </c>
      <c r="B35" s="1" t="s">
        <v>137</v>
      </c>
      <c r="C35" s="4">
        <v>46283.485069444447</v>
      </c>
      <c r="D35" s="1" t="s">
        <v>319</v>
      </c>
      <c r="E35" s="5">
        <v>3</v>
      </c>
      <c r="F35" s="1" t="s">
        <v>288</v>
      </c>
    </row>
    <row r="36" spans="1:6" ht="27" customHeight="1">
      <c r="A36" s="1" t="s">
        <v>323</v>
      </c>
      <c r="B36" s="1" t="s">
        <v>138</v>
      </c>
      <c r="C36" s="4">
        <v>46283.48715277778</v>
      </c>
      <c r="D36" s="1" t="s">
        <v>319</v>
      </c>
      <c r="E36" s="5">
        <v>4</v>
      </c>
      <c r="F36" s="1" t="s">
        <v>288</v>
      </c>
    </row>
    <row r="37" spans="1:6" ht="27" customHeight="1">
      <c r="A37" s="1" t="s">
        <v>324</v>
      </c>
      <c r="B37" s="1" t="s">
        <v>139</v>
      </c>
      <c r="C37" s="4">
        <v>46283.490624999999</v>
      </c>
      <c r="D37" s="1" t="s">
        <v>319</v>
      </c>
      <c r="E37" s="5">
        <v>4</v>
      </c>
      <c r="F37" s="1" t="s">
        <v>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0" customWidth="1"/>
    <col min="3" max="4" width="25" customWidth="1"/>
    <col min="5" max="10" width="20" customWidth="1"/>
  </cols>
  <sheetData>
    <row r="1" spans="1:10" ht="38" customHeight="1">
      <c r="A1" s="2" t="s">
        <v>325</v>
      </c>
      <c r="B1" s="2" t="s">
        <v>326</v>
      </c>
      <c r="C1" s="2" t="s">
        <v>327</v>
      </c>
      <c r="D1" s="2" t="s">
        <v>328</v>
      </c>
      <c r="E1" s="2" t="s">
        <v>329</v>
      </c>
      <c r="F1" s="2" t="s">
        <v>330</v>
      </c>
      <c r="G1" s="2" t="s">
        <v>16</v>
      </c>
      <c r="H1" s="2" t="s">
        <v>331</v>
      </c>
      <c r="I1" s="2" t="s">
        <v>332</v>
      </c>
      <c r="J1" s="2" t="s">
        <v>333</v>
      </c>
    </row>
    <row r="2" spans="1:10" ht="27" customHeight="1">
      <c r="A2" s="1" t="str">
        <f>Orders!A2</f>
        <v>O001</v>
      </c>
      <c r="B2" s="1">
        <f>COUNTIFS(KitchenRuns!$B$2:$B$37,A2,KitchenRuns!$E$2:$E$37,"BLOCKED")</f>
        <v>1</v>
      </c>
      <c r="C2" s="4">
        <f>Orders!D2</f>
        <v>46283.46875</v>
      </c>
      <c r="D2" s="4">
        <f>SUMIFS(KitchenRuns!$K$2:$K$37,KitchenRuns!$B$2:$B$37,A2,KitchenRuns!$E$2:$E$37,"SUCCESS")</f>
        <v>46283.477083333331</v>
      </c>
      <c r="E2" s="1">
        <f t="shared" ref="E2:E31" si="0">MAX(0,ROUND((D2-C2)*1440,2))</f>
        <v>12</v>
      </c>
      <c r="F2" s="1">
        <f>SUMIF(KitchenRuns!$B$2:$B$37,A2,KitchenRuns!$I$2:$I$37)</f>
        <v>10</v>
      </c>
      <c r="G2" s="5">
        <f>F2/60*Guide!$B$4</f>
        <v>4</v>
      </c>
      <c r="H2" s="5">
        <f>SUMIFS(Payments!$E$2:$E$37,Payments!$B$2:$B$37,A2,Payments!$D$2:$D$37,"REFUND_GOODWILL")</f>
        <v>3</v>
      </c>
      <c r="I2" s="5">
        <f t="shared" ref="I2:I31" si="1">G2+H2</f>
        <v>7</v>
      </c>
      <c r="J2" s="5">
        <f>ABS(SUMIFS(Payments!$E$2:$E$37,Payments!$B$2:$B$37,A2,Payments!$D$2:$D$37,"CAPTURE")-SUMIF(OrderLines!$B$2:$B$37,A2,OrderLines!$I$2:$I$37))</f>
        <v>0</v>
      </c>
    </row>
    <row r="3" spans="1:10" ht="27" customHeight="1">
      <c r="A3" s="1" t="str">
        <f>Orders!A3</f>
        <v>O002</v>
      </c>
      <c r="B3" s="1">
        <f>COUNTIFS(KitchenRuns!$B$2:$B$37,A3,KitchenRuns!$E$2:$E$37,"BLOCKED")</f>
        <v>1</v>
      </c>
      <c r="C3" s="4">
        <f>Orders!D3</f>
        <v>46283.469444444447</v>
      </c>
      <c r="D3" s="4">
        <f>SUMIFS(KitchenRuns!$K$2:$K$37,KitchenRuns!$B$2:$B$37,A3,KitchenRuns!$E$2:$E$37,"SUCCESS")</f>
        <v>46283.479861111111</v>
      </c>
      <c r="E3" s="1">
        <f t="shared" si="0"/>
        <v>15</v>
      </c>
      <c r="F3" s="1">
        <f>SUMIF(KitchenRuns!$B$2:$B$37,A3,KitchenRuns!$I$2:$I$37)</f>
        <v>10</v>
      </c>
      <c r="G3" s="5">
        <f>F3/60*Guide!$B$4</f>
        <v>4</v>
      </c>
      <c r="H3" s="5">
        <f>SUMIFS(Payments!$E$2:$E$37,Payments!$B$2:$B$37,A3,Payments!$D$2:$D$37,"REFUND_GOODWILL")</f>
        <v>3</v>
      </c>
      <c r="I3" s="5">
        <f t="shared" si="1"/>
        <v>7</v>
      </c>
      <c r="J3" s="5">
        <f>ABS(SUMIFS(Payments!$E$2:$E$37,Payments!$B$2:$B$37,A3,Payments!$D$2:$D$37,"CAPTURE")-SUMIF(OrderLines!$B$2:$B$37,A3,OrderLines!$I$2:$I$37))</f>
        <v>0</v>
      </c>
    </row>
    <row r="4" spans="1:10" ht="27" customHeight="1">
      <c r="A4" s="1" t="str">
        <f>Orders!A4</f>
        <v>O003</v>
      </c>
      <c r="B4" s="1">
        <f>COUNTIFS(KitchenRuns!$B$2:$B$37,A4,KitchenRuns!$E$2:$E$37,"BLOCKED")</f>
        <v>1</v>
      </c>
      <c r="C4" s="4">
        <f>Orders!D4</f>
        <v>46283.470138888886</v>
      </c>
      <c r="D4" s="4">
        <f>SUMIFS(KitchenRuns!$K$2:$K$37,KitchenRuns!$B$2:$B$37,A4,KitchenRuns!$E$2:$E$37,"SUCCESS")</f>
        <v>46283.481944444444</v>
      </c>
      <c r="E4" s="1">
        <f t="shared" si="0"/>
        <v>17</v>
      </c>
      <c r="F4" s="1">
        <f>SUMIF(KitchenRuns!$B$2:$B$37,A4,KitchenRuns!$I$2:$I$37)</f>
        <v>10</v>
      </c>
      <c r="G4" s="5">
        <f>F4/60*Guide!$B$4</f>
        <v>4</v>
      </c>
      <c r="H4" s="5">
        <f>SUMIFS(Payments!$E$2:$E$37,Payments!$B$2:$B$37,A4,Payments!$D$2:$D$37,"REFUND_GOODWILL")</f>
        <v>3</v>
      </c>
      <c r="I4" s="5">
        <f t="shared" si="1"/>
        <v>7</v>
      </c>
      <c r="J4" s="5">
        <f>ABS(SUMIFS(Payments!$E$2:$E$37,Payments!$B$2:$B$37,A4,Payments!$D$2:$D$37,"CAPTURE")-SUMIF(OrderLines!$B$2:$B$37,A4,OrderLines!$I$2:$I$37))</f>
        <v>0</v>
      </c>
    </row>
    <row r="5" spans="1:10" ht="27" customHeight="1">
      <c r="A5" s="1" t="str">
        <f>Orders!A5</f>
        <v>O004</v>
      </c>
      <c r="B5" s="1">
        <f>COUNTIFS(KitchenRuns!$B$2:$B$37,A5,KitchenRuns!$E$2:$E$37,"BLOCKED")</f>
        <v>1</v>
      </c>
      <c r="C5" s="4">
        <f>Orders!D5</f>
        <v>46283.470833333333</v>
      </c>
      <c r="D5" s="4">
        <f>SUMIFS(KitchenRuns!$K$2:$K$37,KitchenRuns!$B$2:$B$37,A5,KitchenRuns!$E$2:$E$37,"SUCCESS")</f>
        <v>46283.484722222223</v>
      </c>
      <c r="E5" s="1">
        <f t="shared" si="0"/>
        <v>20</v>
      </c>
      <c r="F5" s="1">
        <f>SUMIF(KitchenRuns!$B$2:$B$37,A5,KitchenRuns!$I$2:$I$37)</f>
        <v>10</v>
      </c>
      <c r="G5" s="5">
        <f>F5/60*Guide!$B$4</f>
        <v>4</v>
      </c>
      <c r="H5" s="5">
        <f>SUMIFS(Payments!$E$2:$E$37,Payments!$B$2:$B$37,A5,Payments!$D$2:$D$37,"REFUND_GOODWILL")</f>
        <v>3</v>
      </c>
      <c r="I5" s="5">
        <f t="shared" si="1"/>
        <v>7</v>
      </c>
      <c r="J5" s="5">
        <f>ABS(SUMIFS(Payments!$E$2:$E$37,Payments!$B$2:$B$37,A5,Payments!$D$2:$D$37,"CAPTURE")-SUMIF(OrderLines!$B$2:$B$37,A5,OrderLines!$I$2:$I$37))</f>
        <v>0</v>
      </c>
    </row>
    <row r="6" spans="1:10" ht="27" customHeight="1">
      <c r="A6" s="1" t="str">
        <f>Orders!A6</f>
        <v>O005</v>
      </c>
      <c r="B6" s="1">
        <f>COUNTIFS(KitchenRuns!$B$2:$B$37,A6,KitchenRuns!$E$2:$E$37,"BLOCKED")</f>
        <v>1</v>
      </c>
      <c r="C6" s="4">
        <f>Orders!D6</f>
        <v>46283.47152777778</v>
      </c>
      <c r="D6" s="4">
        <f>SUMIFS(KitchenRuns!$K$2:$K$37,KitchenRuns!$B$2:$B$37,A6,KitchenRuns!$E$2:$E$37,"SUCCESS")</f>
        <v>46283.486805555556</v>
      </c>
      <c r="E6" s="1">
        <f t="shared" si="0"/>
        <v>22</v>
      </c>
      <c r="F6" s="1">
        <f>SUMIF(KitchenRuns!$B$2:$B$37,A6,KitchenRuns!$I$2:$I$37)</f>
        <v>10</v>
      </c>
      <c r="G6" s="5">
        <f>F6/60*Guide!$B$4</f>
        <v>4</v>
      </c>
      <c r="H6" s="5">
        <f>SUMIFS(Payments!$E$2:$E$37,Payments!$B$2:$B$37,A6,Payments!$D$2:$D$37,"REFUND_GOODWILL")</f>
        <v>4</v>
      </c>
      <c r="I6" s="5">
        <f t="shared" si="1"/>
        <v>8</v>
      </c>
      <c r="J6" s="5">
        <f>ABS(SUMIFS(Payments!$E$2:$E$37,Payments!$B$2:$B$37,A6,Payments!$D$2:$D$37,"CAPTURE")-SUMIF(OrderLines!$B$2:$B$37,A6,OrderLines!$I$2:$I$37))</f>
        <v>0</v>
      </c>
    </row>
    <row r="7" spans="1:10" ht="27" customHeight="1">
      <c r="A7" s="1" t="str">
        <f>Orders!A7</f>
        <v>O006</v>
      </c>
      <c r="B7" s="1">
        <f>COUNTIFS(KitchenRuns!$B$2:$B$37,A7,KitchenRuns!$E$2:$E$37,"BLOCKED")</f>
        <v>1</v>
      </c>
      <c r="C7" s="4">
        <f>Orders!D7</f>
        <v>46283.472222222219</v>
      </c>
      <c r="D7" s="4">
        <f>SUMIFS(KitchenRuns!$K$2:$K$37,KitchenRuns!$B$2:$B$37,A7,KitchenRuns!$E$2:$E$37,"SUCCESS")</f>
        <v>46283.490277777775</v>
      </c>
      <c r="E7" s="1">
        <f t="shared" si="0"/>
        <v>26</v>
      </c>
      <c r="F7" s="1">
        <f>SUMIF(KitchenRuns!$B$2:$B$37,A7,KitchenRuns!$I$2:$I$37)</f>
        <v>10</v>
      </c>
      <c r="G7" s="5">
        <f>F7/60*Guide!$B$4</f>
        <v>4</v>
      </c>
      <c r="H7" s="5">
        <f>SUMIFS(Payments!$E$2:$E$37,Payments!$B$2:$B$37,A7,Payments!$D$2:$D$37,"REFUND_GOODWILL")</f>
        <v>4</v>
      </c>
      <c r="I7" s="5">
        <f t="shared" si="1"/>
        <v>8</v>
      </c>
      <c r="J7" s="5">
        <f>ABS(SUMIFS(Payments!$E$2:$E$37,Payments!$B$2:$B$37,A7,Payments!$D$2:$D$37,"CAPTURE")-SUMIF(OrderLines!$B$2:$B$37,A7,OrderLines!$I$2:$I$37))</f>
        <v>0</v>
      </c>
    </row>
    <row r="8" spans="1:10" ht="27" customHeight="1">
      <c r="A8" s="1" t="str">
        <f>Orders!A8</f>
        <v>O007</v>
      </c>
      <c r="B8" s="1">
        <f>COUNTIFS(KitchenRuns!$B$2:$B$37,A8,KitchenRuns!$E$2:$E$37,"BLOCKED")</f>
        <v>0</v>
      </c>
      <c r="C8" s="4">
        <f>Orders!D8</f>
        <v>46283.472916666666</v>
      </c>
      <c r="D8" s="4">
        <f>SUMIFS(KitchenRuns!$K$2:$K$37,KitchenRuns!$B$2:$B$37,A8,KitchenRuns!$E$2:$E$37,"SUCCESS")</f>
        <v>46283.468402777777</v>
      </c>
      <c r="E8" s="1">
        <f t="shared" si="0"/>
        <v>0</v>
      </c>
      <c r="F8" s="1">
        <f>SUMIF(KitchenRuns!$B$2:$B$37,A8,KitchenRuns!$I$2:$I$37)</f>
        <v>0</v>
      </c>
      <c r="G8" s="5">
        <f>F8/60*Guide!$B$4</f>
        <v>0</v>
      </c>
      <c r="H8" s="5">
        <f>SUMIFS(Payments!$E$2:$E$37,Payments!$B$2:$B$37,A8,Payments!$D$2:$D$37,"REFUND_GOODWILL")</f>
        <v>0</v>
      </c>
      <c r="I8" s="5">
        <f t="shared" si="1"/>
        <v>0</v>
      </c>
      <c r="J8" s="5">
        <f>ABS(SUMIFS(Payments!$E$2:$E$37,Payments!$B$2:$B$37,A8,Payments!$D$2:$D$37,"CAPTURE")-SUMIF(OrderLines!$B$2:$B$37,A8,OrderLines!$I$2:$I$37))</f>
        <v>0</v>
      </c>
    </row>
    <row r="9" spans="1:10" ht="27" customHeight="1">
      <c r="A9" s="1" t="str">
        <f>Orders!A9</f>
        <v>O008</v>
      </c>
      <c r="B9" s="1">
        <f>COUNTIFS(KitchenRuns!$B$2:$B$37,A9,KitchenRuns!$E$2:$E$37,"BLOCKED")</f>
        <v>0</v>
      </c>
      <c r="C9" s="4">
        <f>Orders!D9</f>
        <v>46283.473611111112</v>
      </c>
      <c r="D9" s="4">
        <f>SUMIFS(KitchenRuns!$K$2:$K$37,KitchenRuns!$B$2:$B$37,A9,KitchenRuns!$E$2:$E$37,"SUCCESS")</f>
        <v>46283.469097222223</v>
      </c>
      <c r="E9" s="1">
        <f t="shared" si="0"/>
        <v>0</v>
      </c>
      <c r="F9" s="1">
        <f>SUMIF(KitchenRuns!$B$2:$B$37,A9,KitchenRuns!$I$2:$I$37)</f>
        <v>0</v>
      </c>
      <c r="G9" s="5">
        <f>F9/60*Guide!$B$4</f>
        <v>0</v>
      </c>
      <c r="H9" s="5">
        <f>SUMIFS(Payments!$E$2:$E$37,Payments!$B$2:$B$37,A9,Payments!$D$2:$D$37,"REFUND_GOODWILL")</f>
        <v>0</v>
      </c>
      <c r="I9" s="5">
        <f t="shared" si="1"/>
        <v>0</v>
      </c>
      <c r="J9" s="5">
        <f>ABS(SUMIFS(Payments!$E$2:$E$37,Payments!$B$2:$B$37,A9,Payments!$D$2:$D$37,"CAPTURE")-SUMIF(OrderLines!$B$2:$B$37,A9,OrderLines!$I$2:$I$37))</f>
        <v>0</v>
      </c>
    </row>
    <row r="10" spans="1:10" ht="27" customHeight="1">
      <c r="A10" s="1" t="str">
        <f>Orders!A10</f>
        <v>O009</v>
      </c>
      <c r="B10" s="1">
        <f>COUNTIFS(KitchenRuns!$B$2:$B$37,A10,KitchenRuns!$E$2:$E$37,"BLOCKED")</f>
        <v>0</v>
      </c>
      <c r="C10" s="4">
        <f>Orders!D10</f>
        <v>46283.474305555559</v>
      </c>
      <c r="D10" s="4">
        <f>SUMIFS(KitchenRuns!$K$2:$K$37,KitchenRuns!$B$2:$B$37,A10,KitchenRuns!$E$2:$E$37,"SUCCESS")</f>
        <v>46283.46979166667</v>
      </c>
      <c r="E10" s="1">
        <f t="shared" si="0"/>
        <v>0</v>
      </c>
      <c r="F10" s="1">
        <f>SUMIF(KitchenRuns!$B$2:$B$37,A10,KitchenRuns!$I$2:$I$37)</f>
        <v>0</v>
      </c>
      <c r="G10" s="5">
        <f>F10/60*Guide!$B$4</f>
        <v>0</v>
      </c>
      <c r="H10" s="5">
        <f>SUMIFS(Payments!$E$2:$E$37,Payments!$B$2:$B$37,A10,Payments!$D$2:$D$37,"REFUND_GOODWILL")</f>
        <v>0</v>
      </c>
      <c r="I10" s="5">
        <f t="shared" si="1"/>
        <v>0</v>
      </c>
      <c r="J10" s="5">
        <f>ABS(SUMIFS(Payments!$E$2:$E$37,Payments!$B$2:$B$37,A10,Payments!$D$2:$D$37,"CAPTURE")-SUMIF(OrderLines!$B$2:$B$37,A10,OrderLines!$I$2:$I$37))</f>
        <v>0</v>
      </c>
    </row>
    <row r="11" spans="1:10" ht="27" customHeight="1">
      <c r="A11" s="1" t="str">
        <f>Orders!A11</f>
        <v>O010</v>
      </c>
      <c r="B11" s="1">
        <f>COUNTIFS(KitchenRuns!$B$2:$B$37,A11,KitchenRuns!$E$2:$E$37,"BLOCKED")</f>
        <v>0</v>
      </c>
      <c r="C11" s="4">
        <f>Orders!D11</f>
        <v>46283.474999999999</v>
      </c>
      <c r="D11" s="4">
        <f>SUMIFS(KitchenRuns!$K$2:$K$37,KitchenRuns!$B$2:$B$37,A11,KitchenRuns!$E$2:$E$37,"SUCCESS")</f>
        <v>46283.470486111109</v>
      </c>
      <c r="E11" s="1">
        <f t="shared" si="0"/>
        <v>0</v>
      </c>
      <c r="F11" s="1">
        <f>SUMIF(KitchenRuns!$B$2:$B$37,A11,KitchenRuns!$I$2:$I$37)</f>
        <v>0</v>
      </c>
      <c r="G11" s="5">
        <f>F11/60*Guide!$B$4</f>
        <v>0</v>
      </c>
      <c r="H11" s="5">
        <f>SUMIFS(Payments!$E$2:$E$37,Payments!$B$2:$B$37,A11,Payments!$D$2:$D$37,"REFUND_GOODWILL")</f>
        <v>0</v>
      </c>
      <c r="I11" s="5">
        <f t="shared" si="1"/>
        <v>0</v>
      </c>
      <c r="J11" s="5">
        <f>ABS(SUMIFS(Payments!$E$2:$E$37,Payments!$B$2:$B$37,A11,Payments!$D$2:$D$37,"CAPTURE")-SUMIF(OrderLines!$B$2:$B$37,A11,OrderLines!$I$2:$I$37))</f>
        <v>0</v>
      </c>
    </row>
    <row r="12" spans="1:10" ht="27" customHeight="1">
      <c r="A12" s="1" t="str">
        <f>Orders!A12</f>
        <v>O011</v>
      </c>
      <c r="B12" s="1">
        <f>COUNTIFS(KitchenRuns!$B$2:$B$37,A12,KitchenRuns!$E$2:$E$37,"BLOCKED")</f>
        <v>0</v>
      </c>
      <c r="C12" s="4">
        <f>Orders!D12</f>
        <v>46283.475694444445</v>
      </c>
      <c r="D12" s="4">
        <f>SUMIFS(KitchenRuns!$K$2:$K$37,KitchenRuns!$B$2:$B$37,A12,KitchenRuns!$E$2:$E$37,"SUCCESS")</f>
        <v>46283.471180555556</v>
      </c>
      <c r="E12" s="1">
        <f t="shared" si="0"/>
        <v>0</v>
      </c>
      <c r="F12" s="1">
        <f>SUMIF(KitchenRuns!$B$2:$B$37,A12,KitchenRuns!$I$2:$I$37)</f>
        <v>0</v>
      </c>
      <c r="G12" s="5">
        <f>F12/60*Guide!$B$4</f>
        <v>0</v>
      </c>
      <c r="H12" s="5">
        <f>SUMIFS(Payments!$E$2:$E$37,Payments!$B$2:$B$37,A12,Payments!$D$2:$D$37,"REFUND_GOODWILL")</f>
        <v>0</v>
      </c>
      <c r="I12" s="5">
        <f t="shared" si="1"/>
        <v>0</v>
      </c>
      <c r="J12" s="5">
        <f>ABS(SUMIFS(Payments!$E$2:$E$37,Payments!$B$2:$B$37,A12,Payments!$D$2:$D$37,"CAPTURE")-SUMIF(OrderLines!$B$2:$B$37,A12,OrderLines!$I$2:$I$37))</f>
        <v>0</v>
      </c>
    </row>
    <row r="13" spans="1:10" ht="27" customHeight="1">
      <c r="A13" s="1" t="str">
        <f>Orders!A13</f>
        <v>O012</v>
      </c>
      <c r="B13" s="1">
        <f>COUNTIFS(KitchenRuns!$B$2:$B$37,A13,KitchenRuns!$E$2:$E$37,"BLOCKED")</f>
        <v>0</v>
      </c>
      <c r="C13" s="4">
        <f>Orders!D13</f>
        <v>46283.476388888892</v>
      </c>
      <c r="D13" s="4">
        <f>SUMIFS(KitchenRuns!$K$2:$K$37,KitchenRuns!$B$2:$B$37,A13,KitchenRuns!$E$2:$E$37,"SUCCESS")</f>
        <v>46283.471875000003</v>
      </c>
      <c r="E13" s="1">
        <f t="shared" si="0"/>
        <v>0</v>
      </c>
      <c r="F13" s="1">
        <f>SUMIF(KitchenRuns!$B$2:$B$37,A13,KitchenRuns!$I$2:$I$37)</f>
        <v>0</v>
      </c>
      <c r="G13" s="5">
        <f>F13/60*Guide!$B$4</f>
        <v>0</v>
      </c>
      <c r="H13" s="5">
        <f>SUMIFS(Payments!$E$2:$E$37,Payments!$B$2:$B$37,A13,Payments!$D$2:$D$37,"REFUND_GOODWILL")</f>
        <v>0</v>
      </c>
      <c r="I13" s="5">
        <f t="shared" si="1"/>
        <v>0</v>
      </c>
      <c r="J13" s="5">
        <f>ABS(SUMIFS(Payments!$E$2:$E$37,Payments!$B$2:$B$37,A13,Payments!$D$2:$D$37,"CAPTURE")-SUMIF(OrderLines!$B$2:$B$37,A13,OrderLines!$I$2:$I$37))</f>
        <v>0</v>
      </c>
    </row>
    <row r="14" spans="1:10" ht="27" customHeight="1">
      <c r="A14" s="1" t="str">
        <f>Orders!A14</f>
        <v>O013</v>
      </c>
      <c r="B14" s="1">
        <f>COUNTIFS(KitchenRuns!$B$2:$B$37,A14,KitchenRuns!$E$2:$E$37,"BLOCKED")</f>
        <v>0</v>
      </c>
      <c r="C14" s="4">
        <f>Orders!D14</f>
        <v>46283.477083333331</v>
      </c>
      <c r="D14" s="4">
        <f>SUMIFS(KitchenRuns!$K$2:$K$37,KitchenRuns!$B$2:$B$37,A14,KitchenRuns!$E$2:$E$37,"SUCCESS")</f>
        <v>46283.472569444442</v>
      </c>
      <c r="E14" s="1">
        <f t="shared" si="0"/>
        <v>0</v>
      </c>
      <c r="F14" s="1">
        <f>SUMIF(KitchenRuns!$B$2:$B$37,A14,KitchenRuns!$I$2:$I$37)</f>
        <v>0</v>
      </c>
      <c r="G14" s="5">
        <f>F14/60*Guide!$B$4</f>
        <v>0</v>
      </c>
      <c r="H14" s="5">
        <f>SUMIFS(Payments!$E$2:$E$37,Payments!$B$2:$B$37,A14,Payments!$D$2:$D$37,"REFUND_GOODWILL")</f>
        <v>0</v>
      </c>
      <c r="I14" s="5">
        <f t="shared" si="1"/>
        <v>0</v>
      </c>
      <c r="J14" s="5">
        <f>ABS(SUMIFS(Payments!$E$2:$E$37,Payments!$B$2:$B$37,A14,Payments!$D$2:$D$37,"CAPTURE")-SUMIF(OrderLines!$B$2:$B$37,A14,OrderLines!$I$2:$I$37))</f>
        <v>0</v>
      </c>
    </row>
    <row r="15" spans="1:10" ht="27" customHeight="1">
      <c r="A15" s="1" t="str">
        <f>Orders!A15</f>
        <v>O014</v>
      </c>
      <c r="B15" s="1">
        <f>COUNTIFS(KitchenRuns!$B$2:$B$37,A15,KitchenRuns!$E$2:$E$37,"BLOCKED")</f>
        <v>0</v>
      </c>
      <c r="C15" s="4">
        <f>Orders!D15</f>
        <v>46283.477777777778</v>
      </c>
      <c r="D15" s="4">
        <f>SUMIFS(KitchenRuns!$K$2:$K$37,KitchenRuns!$B$2:$B$37,A15,KitchenRuns!$E$2:$E$37,"SUCCESS")</f>
        <v>46283.473263888889</v>
      </c>
      <c r="E15" s="1">
        <f t="shared" si="0"/>
        <v>0</v>
      </c>
      <c r="F15" s="1">
        <f>SUMIF(KitchenRuns!$B$2:$B$37,A15,KitchenRuns!$I$2:$I$37)</f>
        <v>0</v>
      </c>
      <c r="G15" s="5">
        <f>F15/60*Guide!$B$4</f>
        <v>0</v>
      </c>
      <c r="H15" s="5">
        <f>SUMIFS(Payments!$E$2:$E$37,Payments!$B$2:$B$37,A15,Payments!$D$2:$D$37,"REFUND_GOODWILL")</f>
        <v>0</v>
      </c>
      <c r="I15" s="5">
        <f t="shared" si="1"/>
        <v>0</v>
      </c>
      <c r="J15" s="5">
        <f>ABS(SUMIFS(Payments!$E$2:$E$37,Payments!$B$2:$B$37,A15,Payments!$D$2:$D$37,"CAPTURE")-SUMIF(OrderLines!$B$2:$B$37,A15,OrderLines!$I$2:$I$37))</f>
        <v>0</v>
      </c>
    </row>
    <row r="16" spans="1:10" ht="27" customHeight="1">
      <c r="A16" s="1" t="str">
        <f>Orders!A16</f>
        <v>O015</v>
      </c>
      <c r="B16" s="1">
        <f>COUNTIFS(KitchenRuns!$B$2:$B$37,A16,KitchenRuns!$E$2:$E$37,"BLOCKED")</f>
        <v>0</v>
      </c>
      <c r="C16" s="4">
        <f>Orders!D16</f>
        <v>46283.478472222225</v>
      </c>
      <c r="D16" s="4">
        <f>SUMIFS(KitchenRuns!$K$2:$K$37,KitchenRuns!$B$2:$B$37,A16,KitchenRuns!$E$2:$E$37,"SUCCESS")</f>
        <v>46283.473958333336</v>
      </c>
      <c r="E16" s="1">
        <f t="shared" si="0"/>
        <v>0</v>
      </c>
      <c r="F16" s="1">
        <f>SUMIF(KitchenRuns!$B$2:$B$37,A16,KitchenRuns!$I$2:$I$37)</f>
        <v>0</v>
      </c>
      <c r="G16" s="5">
        <f>F16/60*Guide!$B$4</f>
        <v>0</v>
      </c>
      <c r="H16" s="5">
        <f>SUMIFS(Payments!$E$2:$E$37,Payments!$B$2:$B$37,A16,Payments!$D$2:$D$37,"REFUND_GOODWILL")</f>
        <v>0</v>
      </c>
      <c r="I16" s="5">
        <f t="shared" si="1"/>
        <v>0</v>
      </c>
      <c r="J16" s="5">
        <f>ABS(SUMIFS(Payments!$E$2:$E$37,Payments!$B$2:$B$37,A16,Payments!$D$2:$D$37,"CAPTURE")-SUMIF(OrderLines!$B$2:$B$37,A16,OrderLines!$I$2:$I$37))</f>
        <v>0</v>
      </c>
    </row>
    <row r="17" spans="1:10" ht="27" customHeight="1">
      <c r="A17" s="1" t="str">
        <f>Orders!A17</f>
        <v>O016</v>
      </c>
      <c r="B17" s="1">
        <f>COUNTIFS(KitchenRuns!$B$2:$B$37,A17,KitchenRuns!$E$2:$E$37,"BLOCKED")</f>
        <v>0</v>
      </c>
      <c r="C17" s="4">
        <f>Orders!D17</f>
        <v>46283.479166666664</v>
      </c>
      <c r="D17" s="4">
        <f>SUMIFS(KitchenRuns!$K$2:$K$37,KitchenRuns!$B$2:$B$37,A17,KitchenRuns!$E$2:$E$37,"SUCCESS")</f>
        <v>46283.474652777775</v>
      </c>
      <c r="E17" s="1">
        <f t="shared" si="0"/>
        <v>0</v>
      </c>
      <c r="F17" s="1">
        <f>SUMIF(KitchenRuns!$B$2:$B$37,A17,KitchenRuns!$I$2:$I$37)</f>
        <v>0</v>
      </c>
      <c r="G17" s="5">
        <f>F17/60*Guide!$B$4</f>
        <v>0</v>
      </c>
      <c r="H17" s="5">
        <f>SUMIFS(Payments!$E$2:$E$37,Payments!$B$2:$B$37,A17,Payments!$D$2:$D$37,"REFUND_GOODWILL")</f>
        <v>0</v>
      </c>
      <c r="I17" s="5">
        <f t="shared" si="1"/>
        <v>0</v>
      </c>
      <c r="J17" s="5">
        <f>ABS(SUMIFS(Payments!$E$2:$E$37,Payments!$B$2:$B$37,A17,Payments!$D$2:$D$37,"CAPTURE")-SUMIF(OrderLines!$B$2:$B$37,A17,OrderLines!$I$2:$I$37))</f>
        <v>0</v>
      </c>
    </row>
    <row r="18" spans="1:10" ht="27" customHeight="1">
      <c r="A18" s="1" t="str">
        <f>Orders!A18</f>
        <v>O017</v>
      </c>
      <c r="B18" s="1">
        <f>COUNTIFS(KitchenRuns!$B$2:$B$37,A18,KitchenRuns!$E$2:$E$37,"BLOCKED")</f>
        <v>0</v>
      </c>
      <c r="C18" s="4">
        <f>Orders!D18</f>
        <v>46283.479861111111</v>
      </c>
      <c r="D18" s="4">
        <f>SUMIFS(KitchenRuns!$K$2:$K$37,KitchenRuns!$B$2:$B$37,A18,KitchenRuns!$E$2:$E$37,"SUCCESS")</f>
        <v>46283.475347222222</v>
      </c>
      <c r="E18" s="1">
        <f t="shared" si="0"/>
        <v>0</v>
      </c>
      <c r="F18" s="1">
        <f>SUMIF(KitchenRuns!$B$2:$B$37,A18,KitchenRuns!$I$2:$I$37)</f>
        <v>0</v>
      </c>
      <c r="G18" s="5">
        <f>F18/60*Guide!$B$4</f>
        <v>0</v>
      </c>
      <c r="H18" s="5">
        <f>SUMIFS(Payments!$E$2:$E$37,Payments!$B$2:$B$37,A18,Payments!$D$2:$D$37,"REFUND_GOODWILL")</f>
        <v>0</v>
      </c>
      <c r="I18" s="5">
        <f t="shared" si="1"/>
        <v>0</v>
      </c>
      <c r="J18" s="5">
        <f>ABS(SUMIFS(Payments!$E$2:$E$37,Payments!$B$2:$B$37,A18,Payments!$D$2:$D$37,"CAPTURE")-SUMIF(OrderLines!$B$2:$B$37,A18,OrderLines!$I$2:$I$37))</f>
        <v>0</v>
      </c>
    </row>
    <row r="19" spans="1:10" ht="27" customHeight="1">
      <c r="A19" s="1" t="str">
        <f>Orders!A19</f>
        <v>O018</v>
      </c>
      <c r="B19" s="1">
        <f>COUNTIFS(KitchenRuns!$B$2:$B$37,A19,KitchenRuns!$E$2:$E$37,"BLOCKED")</f>
        <v>0</v>
      </c>
      <c r="C19" s="4">
        <f>Orders!D19</f>
        <v>46283.480555555558</v>
      </c>
      <c r="D19" s="4">
        <f>SUMIFS(KitchenRuns!$K$2:$K$37,KitchenRuns!$B$2:$B$37,A19,KitchenRuns!$E$2:$E$37,"SUCCESS")</f>
        <v>46283.476041666669</v>
      </c>
      <c r="E19" s="1">
        <f t="shared" si="0"/>
        <v>0</v>
      </c>
      <c r="F19" s="1">
        <f>SUMIF(KitchenRuns!$B$2:$B$37,A19,KitchenRuns!$I$2:$I$37)</f>
        <v>0</v>
      </c>
      <c r="G19" s="5">
        <f>F19/60*Guide!$B$4</f>
        <v>0</v>
      </c>
      <c r="H19" s="5">
        <f>SUMIFS(Payments!$E$2:$E$37,Payments!$B$2:$B$37,A19,Payments!$D$2:$D$37,"REFUND_GOODWILL")</f>
        <v>0</v>
      </c>
      <c r="I19" s="5">
        <f t="shared" si="1"/>
        <v>0</v>
      </c>
      <c r="J19" s="5">
        <f>ABS(SUMIFS(Payments!$E$2:$E$37,Payments!$B$2:$B$37,A19,Payments!$D$2:$D$37,"CAPTURE")-SUMIF(OrderLines!$B$2:$B$37,A19,OrderLines!$I$2:$I$37))</f>
        <v>0</v>
      </c>
    </row>
    <row r="20" spans="1:10" ht="27" customHeight="1">
      <c r="A20" s="1" t="str">
        <f>Orders!A20</f>
        <v>O019</v>
      </c>
      <c r="B20" s="1">
        <f>COUNTIFS(KitchenRuns!$B$2:$B$37,A20,KitchenRuns!$E$2:$E$37,"BLOCKED")</f>
        <v>0</v>
      </c>
      <c r="C20" s="4">
        <f>Orders!D20</f>
        <v>46283.481249999997</v>
      </c>
      <c r="D20" s="4">
        <f>SUMIFS(KitchenRuns!$K$2:$K$37,KitchenRuns!$B$2:$B$37,A20,KitchenRuns!$E$2:$E$37,"SUCCESS")</f>
        <v>46283.476736111108</v>
      </c>
      <c r="E20" s="1">
        <f t="shared" si="0"/>
        <v>0</v>
      </c>
      <c r="F20" s="1">
        <f>SUMIF(KitchenRuns!$B$2:$B$37,A20,KitchenRuns!$I$2:$I$37)</f>
        <v>0</v>
      </c>
      <c r="G20" s="5">
        <f>F20/60*Guide!$B$4</f>
        <v>0</v>
      </c>
      <c r="H20" s="5">
        <f>SUMIFS(Payments!$E$2:$E$37,Payments!$B$2:$B$37,A20,Payments!$D$2:$D$37,"REFUND_GOODWILL")</f>
        <v>0</v>
      </c>
      <c r="I20" s="5">
        <f t="shared" si="1"/>
        <v>0</v>
      </c>
      <c r="J20" s="5">
        <f>ABS(SUMIFS(Payments!$E$2:$E$37,Payments!$B$2:$B$37,A20,Payments!$D$2:$D$37,"CAPTURE")-SUMIF(OrderLines!$B$2:$B$37,A20,OrderLines!$I$2:$I$37))</f>
        <v>0</v>
      </c>
    </row>
    <row r="21" spans="1:10" ht="27" customHeight="1">
      <c r="A21" s="1" t="str">
        <f>Orders!A21</f>
        <v>O020</v>
      </c>
      <c r="B21" s="1">
        <f>COUNTIFS(KitchenRuns!$B$2:$B$37,A21,KitchenRuns!$E$2:$E$37,"BLOCKED")</f>
        <v>0</v>
      </c>
      <c r="C21" s="4">
        <f>Orders!D21</f>
        <v>46283.481944444444</v>
      </c>
      <c r="D21" s="4">
        <f>SUMIFS(KitchenRuns!$K$2:$K$37,KitchenRuns!$B$2:$B$37,A21,KitchenRuns!$E$2:$E$37,"SUCCESS")</f>
        <v>46283.477430555555</v>
      </c>
      <c r="E21" s="1">
        <f t="shared" si="0"/>
        <v>0</v>
      </c>
      <c r="F21" s="1">
        <f>SUMIF(KitchenRuns!$B$2:$B$37,A21,KitchenRuns!$I$2:$I$37)</f>
        <v>0</v>
      </c>
      <c r="G21" s="5">
        <f>F21/60*Guide!$B$4</f>
        <v>0</v>
      </c>
      <c r="H21" s="5">
        <f>SUMIFS(Payments!$E$2:$E$37,Payments!$B$2:$B$37,A21,Payments!$D$2:$D$37,"REFUND_GOODWILL")</f>
        <v>0</v>
      </c>
      <c r="I21" s="5">
        <f t="shared" si="1"/>
        <v>0</v>
      </c>
      <c r="J21" s="5">
        <f>ABS(SUMIFS(Payments!$E$2:$E$37,Payments!$B$2:$B$37,A21,Payments!$D$2:$D$37,"CAPTURE")-SUMIF(OrderLines!$B$2:$B$37,A21,OrderLines!$I$2:$I$37))</f>
        <v>0</v>
      </c>
    </row>
    <row r="22" spans="1:10" ht="27" customHeight="1">
      <c r="A22" s="1" t="str">
        <f>Orders!A22</f>
        <v>O021</v>
      </c>
      <c r="B22" s="1">
        <f>COUNTIFS(KitchenRuns!$B$2:$B$37,A22,KitchenRuns!$E$2:$E$37,"BLOCKED")</f>
        <v>0</v>
      </c>
      <c r="C22" s="4">
        <f>Orders!D22</f>
        <v>46283.482638888891</v>
      </c>
      <c r="D22" s="4">
        <f>SUMIFS(KitchenRuns!$K$2:$K$37,KitchenRuns!$B$2:$B$37,A22,KitchenRuns!$E$2:$E$37,"SUCCESS")</f>
        <v>46283.478125000001</v>
      </c>
      <c r="E22" s="1">
        <f t="shared" si="0"/>
        <v>0</v>
      </c>
      <c r="F22" s="1">
        <f>SUMIF(KitchenRuns!$B$2:$B$37,A22,KitchenRuns!$I$2:$I$37)</f>
        <v>0</v>
      </c>
      <c r="G22" s="5">
        <f>F22/60*Guide!$B$4</f>
        <v>0</v>
      </c>
      <c r="H22" s="5">
        <f>SUMIFS(Payments!$E$2:$E$37,Payments!$B$2:$B$37,A22,Payments!$D$2:$D$37,"REFUND_GOODWILL")</f>
        <v>0</v>
      </c>
      <c r="I22" s="5">
        <f t="shared" si="1"/>
        <v>0</v>
      </c>
      <c r="J22" s="5">
        <f>ABS(SUMIFS(Payments!$E$2:$E$37,Payments!$B$2:$B$37,A22,Payments!$D$2:$D$37,"CAPTURE")-SUMIF(OrderLines!$B$2:$B$37,A22,OrderLines!$I$2:$I$37))</f>
        <v>0</v>
      </c>
    </row>
    <row r="23" spans="1:10" ht="27" customHeight="1">
      <c r="A23" s="1" t="str">
        <f>Orders!A23</f>
        <v>O022</v>
      </c>
      <c r="B23" s="1">
        <f>COUNTIFS(KitchenRuns!$B$2:$B$37,A23,KitchenRuns!$E$2:$E$37,"BLOCKED")</f>
        <v>0</v>
      </c>
      <c r="C23" s="4">
        <f>Orders!D23</f>
        <v>46283.48333333333</v>
      </c>
      <c r="D23" s="4">
        <f>SUMIFS(KitchenRuns!$K$2:$K$37,KitchenRuns!$B$2:$B$37,A23,KitchenRuns!$E$2:$E$37,"SUCCESS")</f>
        <v>46283.478819444441</v>
      </c>
      <c r="E23" s="1">
        <f t="shared" si="0"/>
        <v>0</v>
      </c>
      <c r="F23" s="1">
        <f>SUMIF(KitchenRuns!$B$2:$B$37,A23,KitchenRuns!$I$2:$I$37)</f>
        <v>0</v>
      </c>
      <c r="G23" s="5">
        <f>F23/60*Guide!$B$4</f>
        <v>0</v>
      </c>
      <c r="H23" s="5">
        <f>SUMIFS(Payments!$E$2:$E$37,Payments!$B$2:$B$37,A23,Payments!$D$2:$D$37,"REFUND_GOODWILL")</f>
        <v>0</v>
      </c>
      <c r="I23" s="5">
        <f t="shared" si="1"/>
        <v>0</v>
      </c>
      <c r="J23" s="5">
        <f>ABS(SUMIFS(Payments!$E$2:$E$37,Payments!$B$2:$B$37,A23,Payments!$D$2:$D$37,"CAPTURE")-SUMIF(OrderLines!$B$2:$B$37,A23,OrderLines!$I$2:$I$37))</f>
        <v>0</v>
      </c>
    </row>
    <row r="24" spans="1:10" ht="27" customHeight="1">
      <c r="A24" s="1" t="str">
        <f>Orders!A24</f>
        <v>O023</v>
      </c>
      <c r="B24" s="1">
        <f>COUNTIFS(KitchenRuns!$B$2:$B$37,A24,KitchenRuns!$E$2:$E$37,"BLOCKED")</f>
        <v>0</v>
      </c>
      <c r="C24" s="4">
        <f>Orders!D24</f>
        <v>46283.484027777777</v>
      </c>
      <c r="D24" s="4">
        <f>SUMIFS(KitchenRuns!$K$2:$K$37,KitchenRuns!$B$2:$B$37,A24,KitchenRuns!$E$2:$E$37,"SUCCESS")</f>
        <v>46283.479513888888</v>
      </c>
      <c r="E24" s="1">
        <f t="shared" si="0"/>
        <v>0</v>
      </c>
      <c r="F24" s="1">
        <f>SUMIF(KitchenRuns!$B$2:$B$37,A24,KitchenRuns!$I$2:$I$37)</f>
        <v>0</v>
      </c>
      <c r="G24" s="5">
        <f>F24/60*Guide!$B$4</f>
        <v>0</v>
      </c>
      <c r="H24" s="5">
        <f>SUMIFS(Payments!$E$2:$E$37,Payments!$B$2:$B$37,A24,Payments!$D$2:$D$37,"REFUND_GOODWILL")</f>
        <v>0</v>
      </c>
      <c r="I24" s="5">
        <f t="shared" si="1"/>
        <v>0</v>
      </c>
      <c r="J24" s="5">
        <f>ABS(SUMIFS(Payments!$E$2:$E$37,Payments!$B$2:$B$37,A24,Payments!$D$2:$D$37,"CAPTURE")-SUMIF(OrderLines!$B$2:$B$37,A24,OrderLines!$I$2:$I$37))</f>
        <v>0</v>
      </c>
    </row>
    <row r="25" spans="1:10" ht="27" customHeight="1">
      <c r="A25" s="1" t="str">
        <f>Orders!A25</f>
        <v>O024</v>
      </c>
      <c r="B25" s="1">
        <f>COUNTIFS(KitchenRuns!$B$2:$B$37,A25,KitchenRuns!$E$2:$E$37,"BLOCKED")</f>
        <v>0</v>
      </c>
      <c r="C25" s="4">
        <f>Orders!D25</f>
        <v>46283.484722222223</v>
      </c>
      <c r="D25" s="4">
        <f>SUMIFS(KitchenRuns!$K$2:$K$37,KitchenRuns!$B$2:$B$37,A25,KitchenRuns!$E$2:$E$37,"SUCCESS")</f>
        <v>46283.480208333334</v>
      </c>
      <c r="E25" s="1">
        <f t="shared" si="0"/>
        <v>0</v>
      </c>
      <c r="F25" s="1">
        <f>SUMIF(KitchenRuns!$B$2:$B$37,A25,KitchenRuns!$I$2:$I$37)</f>
        <v>0</v>
      </c>
      <c r="G25" s="5">
        <f>F25/60*Guide!$B$4</f>
        <v>0</v>
      </c>
      <c r="H25" s="5">
        <f>SUMIFS(Payments!$E$2:$E$37,Payments!$B$2:$B$37,A25,Payments!$D$2:$D$37,"REFUND_GOODWILL")</f>
        <v>0</v>
      </c>
      <c r="I25" s="5">
        <f t="shared" si="1"/>
        <v>0</v>
      </c>
      <c r="J25" s="5">
        <f>ABS(SUMIFS(Payments!$E$2:$E$37,Payments!$B$2:$B$37,A25,Payments!$D$2:$D$37,"CAPTURE")-SUMIF(OrderLines!$B$2:$B$37,A25,OrderLines!$I$2:$I$37))</f>
        <v>0</v>
      </c>
    </row>
    <row r="26" spans="1:10" ht="27" customHeight="1">
      <c r="A26" s="1" t="str">
        <f>Orders!A26</f>
        <v>O025</v>
      </c>
      <c r="B26" s="1">
        <f>COUNTIFS(KitchenRuns!$B$2:$B$37,A26,KitchenRuns!$E$2:$E$37,"BLOCKED")</f>
        <v>0</v>
      </c>
      <c r="C26" s="4">
        <f>Orders!D26</f>
        <v>46283.48541666667</v>
      </c>
      <c r="D26" s="4">
        <f>SUMIFS(KitchenRuns!$K$2:$K$37,KitchenRuns!$B$2:$B$37,A26,KitchenRuns!$E$2:$E$37,"SUCCESS")</f>
        <v>46283.480902777781</v>
      </c>
      <c r="E26" s="1">
        <f t="shared" si="0"/>
        <v>0</v>
      </c>
      <c r="F26" s="1">
        <f>SUMIF(KitchenRuns!$B$2:$B$37,A26,KitchenRuns!$I$2:$I$37)</f>
        <v>0</v>
      </c>
      <c r="G26" s="5">
        <f>F26/60*Guide!$B$4</f>
        <v>0</v>
      </c>
      <c r="H26" s="5">
        <f>SUMIFS(Payments!$E$2:$E$37,Payments!$B$2:$B$37,A26,Payments!$D$2:$D$37,"REFUND_GOODWILL")</f>
        <v>0</v>
      </c>
      <c r="I26" s="5">
        <f t="shared" si="1"/>
        <v>0</v>
      </c>
      <c r="J26" s="5">
        <f>ABS(SUMIFS(Payments!$E$2:$E$37,Payments!$B$2:$B$37,A26,Payments!$D$2:$D$37,"CAPTURE")-SUMIF(OrderLines!$B$2:$B$37,A26,OrderLines!$I$2:$I$37))</f>
        <v>0</v>
      </c>
    </row>
    <row r="27" spans="1:10" ht="27" customHeight="1">
      <c r="A27" s="1" t="str">
        <f>Orders!A27</f>
        <v>O026</v>
      </c>
      <c r="B27" s="1">
        <f>COUNTIFS(KitchenRuns!$B$2:$B$37,A27,KitchenRuns!$E$2:$E$37,"BLOCKED")</f>
        <v>0</v>
      </c>
      <c r="C27" s="4">
        <f>Orders!D27</f>
        <v>46283.486111111109</v>
      </c>
      <c r="D27" s="4">
        <f>SUMIFS(KitchenRuns!$K$2:$K$37,KitchenRuns!$B$2:$B$37,A27,KitchenRuns!$E$2:$E$37,"SUCCESS")</f>
        <v>46283.48159722222</v>
      </c>
      <c r="E27" s="1">
        <f t="shared" si="0"/>
        <v>0</v>
      </c>
      <c r="F27" s="1">
        <f>SUMIF(KitchenRuns!$B$2:$B$37,A27,KitchenRuns!$I$2:$I$37)</f>
        <v>0</v>
      </c>
      <c r="G27" s="5">
        <f>F27/60*Guide!$B$4</f>
        <v>0</v>
      </c>
      <c r="H27" s="5">
        <f>SUMIFS(Payments!$E$2:$E$37,Payments!$B$2:$B$37,A27,Payments!$D$2:$D$37,"REFUND_GOODWILL")</f>
        <v>0</v>
      </c>
      <c r="I27" s="5">
        <f t="shared" si="1"/>
        <v>0</v>
      </c>
      <c r="J27" s="5">
        <f>ABS(SUMIFS(Payments!$E$2:$E$37,Payments!$B$2:$B$37,A27,Payments!$D$2:$D$37,"CAPTURE")-SUMIF(OrderLines!$B$2:$B$37,A27,OrderLines!$I$2:$I$37))</f>
        <v>0</v>
      </c>
    </row>
    <row r="28" spans="1:10" ht="27" customHeight="1">
      <c r="A28" s="1" t="str">
        <f>Orders!A28</f>
        <v>O027</v>
      </c>
      <c r="B28" s="1">
        <f>COUNTIFS(KitchenRuns!$B$2:$B$37,A28,KitchenRuns!$E$2:$E$37,"BLOCKED")</f>
        <v>0</v>
      </c>
      <c r="C28" s="4">
        <f>Orders!D28</f>
        <v>46283.486805555556</v>
      </c>
      <c r="D28" s="4">
        <f>SUMIFS(KitchenRuns!$K$2:$K$37,KitchenRuns!$B$2:$B$37,A28,KitchenRuns!$E$2:$E$37,"SUCCESS")</f>
        <v>46283.482291666667</v>
      </c>
      <c r="E28" s="1">
        <f t="shared" si="0"/>
        <v>0</v>
      </c>
      <c r="F28" s="1">
        <f>SUMIF(KitchenRuns!$B$2:$B$37,A28,KitchenRuns!$I$2:$I$37)</f>
        <v>0</v>
      </c>
      <c r="G28" s="5">
        <f>F28/60*Guide!$B$4</f>
        <v>0</v>
      </c>
      <c r="H28" s="5">
        <f>SUMIFS(Payments!$E$2:$E$37,Payments!$B$2:$B$37,A28,Payments!$D$2:$D$37,"REFUND_GOODWILL")</f>
        <v>0</v>
      </c>
      <c r="I28" s="5">
        <f t="shared" si="1"/>
        <v>0</v>
      </c>
      <c r="J28" s="5">
        <f>ABS(SUMIFS(Payments!$E$2:$E$37,Payments!$B$2:$B$37,A28,Payments!$D$2:$D$37,"CAPTURE")-SUMIF(OrderLines!$B$2:$B$37,A28,OrderLines!$I$2:$I$37))</f>
        <v>0</v>
      </c>
    </row>
    <row r="29" spans="1:10" ht="27" customHeight="1">
      <c r="A29" s="1" t="str">
        <f>Orders!A29</f>
        <v>O028</v>
      </c>
      <c r="B29" s="1">
        <f>COUNTIFS(KitchenRuns!$B$2:$B$37,A29,KitchenRuns!$E$2:$E$37,"BLOCKED")</f>
        <v>0</v>
      </c>
      <c r="C29" s="4">
        <f>Orders!D29</f>
        <v>46283.487500000003</v>
      </c>
      <c r="D29" s="4">
        <f>SUMIFS(KitchenRuns!$K$2:$K$37,KitchenRuns!$B$2:$B$37,A29,KitchenRuns!$E$2:$E$37,"SUCCESS")</f>
        <v>46283.482986111114</v>
      </c>
      <c r="E29" s="1">
        <f t="shared" si="0"/>
        <v>0</v>
      </c>
      <c r="F29" s="1">
        <f>SUMIF(KitchenRuns!$B$2:$B$37,A29,KitchenRuns!$I$2:$I$37)</f>
        <v>0</v>
      </c>
      <c r="G29" s="5">
        <f>F29/60*Guide!$B$4</f>
        <v>0</v>
      </c>
      <c r="H29" s="5">
        <f>SUMIFS(Payments!$E$2:$E$37,Payments!$B$2:$B$37,A29,Payments!$D$2:$D$37,"REFUND_GOODWILL")</f>
        <v>0</v>
      </c>
      <c r="I29" s="5">
        <f t="shared" si="1"/>
        <v>0</v>
      </c>
      <c r="J29" s="5">
        <f>ABS(SUMIFS(Payments!$E$2:$E$37,Payments!$B$2:$B$37,A29,Payments!$D$2:$D$37,"CAPTURE")-SUMIF(OrderLines!$B$2:$B$37,A29,OrderLines!$I$2:$I$37))</f>
        <v>0</v>
      </c>
    </row>
    <row r="30" spans="1:10" ht="27" customHeight="1">
      <c r="A30" s="1" t="str">
        <f>Orders!A30</f>
        <v>O029</v>
      </c>
      <c r="B30" s="1">
        <f>COUNTIFS(KitchenRuns!$B$2:$B$37,A30,KitchenRuns!$E$2:$E$37,"BLOCKED")</f>
        <v>0</v>
      </c>
      <c r="C30" s="4">
        <f>Orders!D30</f>
        <v>46283.488194444442</v>
      </c>
      <c r="D30" s="4">
        <f>SUMIFS(KitchenRuns!$K$2:$K$37,KitchenRuns!$B$2:$B$37,A30,KitchenRuns!$E$2:$E$37,"SUCCESS")</f>
        <v>46283.483680555553</v>
      </c>
      <c r="E30" s="1">
        <f t="shared" si="0"/>
        <v>0</v>
      </c>
      <c r="F30" s="1">
        <f>SUMIF(KitchenRuns!$B$2:$B$37,A30,KitchenRuns!$I$2:$I$37)</f>
        <v>0</v>
      </c>
      <c r="G30" s="5">
        <f>F30/60*Guide!$B$4</f>
        <v>0</v>
      </c>
      <c r="H30" s="5">
        <f>SUMIFS(Payments!$E$2:$E$37,Payments!$B$2:$B$37,A30,Payments!$D$2:$D$37,"REFUND_GOODWILL")</f>
        <v>0</v>
      </c>
      <c r="I30" s="5">
        <f t="shared" si="1"/>
        <v>0</v>
      </c>
      <c r="J30" s="5">
        <f>ABS(SUMIFS(Payments!$E$2:$E$37,Payments!$B$2:$B$37,A30,Payments!$D$2:$D$37,"CAPTURE")-SUMIF(OrderLines!$B$2:$B$37,A30,OrderLines!$I$2:$I$37))</f>
        <v>0</v>
      </c>
    </row>
    <row r="31" spans="1:10" ht="27" customHeight="1">
      <c r="A31" s="1" t="str">
        <f>Orders!A31</f>
        <v>O030</v>
      </c>
      <c r="B31" s="1">
        <f>COUNTIFS(KitchenRuns!$B$2:$B$37,A31,KitchenRuns!$E$2:$E$37,"BLOCKED")</f>
        <v>0</v>
      </c>
      <c r="C31" s="4">
        <f>Orders!D31</f>
        <v>46283.488888888889</v>
      </c>
      <c r="D31" s="4">
        <f>SUMIFS(KitchenRuns!$K$2:$K$37,KitchenRuns!$B$2:$B$37,A31,KitchenRuns!$E$2:$E$37,"SUCCESS")</f>
        <v>46283.484375</v>
      </c>
      <c r="E31" s="1">
        <f t="shared" si="0"/>
        <v>0</v>
      </c>
      <c r="F31" s="1">
        <f>SUMIF(KitchenRuns!$B$2:$B$37,A31,KitchenRuns!$I$2:$I$37)</f>
        <v>0</v>
      </c>
      <c r="G31" s="5">
        <f>F31/60*Guide!$B$4</f>
        <v>0</v>
      </c>
      <c r="H31" s="5">
        <f>SUMIFS(Payments!$E$2:$E$37,Payments!$B$2:$B$37,A31,Payments!$D$2:$D$37,"REFUND_GOODWILL")</f>
        <v>0</v>
      </c>
      <c r="I31" s="5">
        <f t="shared" si="1"/>
        <v>0</v>
      </c>
      <c r="J31" s="5">
        <f>ABS(SUMIFS(Payments!$E$2:$E$37,Payments!$B$2:$B$37,A31,Payments!$D$2:$D$37,"CAPTURE")-SUMIF(OrderLines!$B$2:$B$37,A31,OrderLines!$I$2:$I$37))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/>
  </sheetViews>
  <sheetFormatPr baseColWidth="10" defaultColWidth="8.83203125" defaultRowHeight="15"/>
  <cols>
    <col min="1" max="1" width="27" customWidth="1"/>
    <col min="2" max="2" width="106" customWidth="1"/>
  </cols>
  <sheetData>
    <row r="1" spans="1:2" ht="50.75" customHeight="1">
      <c r="A1" s="2" t="s">
        <v>334</v>
      </c>
      <c r="B1" s="2" t="s">
        <v>2</v>
      </c>
    </row>
    <row r="2" spans="1:2" ht="80" customHeight="1">
      <c r="A2" s="6" t="s">
        <v>335</v>
      </c>
      <c r="B2" s="6" t="s">
        <v>336</v>
      </c>
    </row>
    <row r="3" spans="1:2" ht="80" customHeight="1">
      <c r="A3" s="6" t="s">
        <v>337</v>
      </c>
      <c r="B3" s="6" t="s">
        <v>338</v>
      </c>
    </row>
    <row r="4" spans="1:2" ht="80" customHeight="1">
      <c r="A4" s="6" t="s">
        <v>339</v>
      </c>
      <c r="B4" s="10">
        <v>24</v>
      </c>
    </row>
    <row r="5" spans="1:2" ht="80" customHeight="1">
      <c r="A5" s="6" t="s">
        <v>340</v>
      </c>
      <c r="B5" s="6" t="s">
        <v>341</v>
      </c>
    </row>
    <row r="6" spans="1:2" ht="80" customHeight="1">
      <c r="A6" s="6" t="s">
        <v>342</v>
      </c>
      <c r="B6" s="6" t="s">
        <v>343</v>
      </c>
    </row>
    <row r="7" spans="1:2" ht="80" customHeight="1">
      <c r="A7" s="6" t="s">
        <v>344</v>
      </c>
      <c r="B7" s="6" t="s">
        <v>345</v>
      </c>
    </row>
    <row r="8" spans="1:2" ht="80" customHeight="1">
      <c r="A8" s="6" t="s">
        <v>346</v>
      </c>
      <c r="B8" s="6" t="s">
        <v>347</v>
      </c>
    </row>
    <row r="9" spans="1:2" ht="80" customHeight="1">
      <c r="A9" s="6" t="s">
        <v>348</v>
      </c>
      <c r="B9" s="6" t="s">
        <v>349</v>
      </c>
    </row>
    <row r="10" spans="1:2" ht="80" customHeight="1">
      <c r="A10" s="6" t="s">
        <v>350</v>
      </c>
      <c r="B10" s="6" t="s">
        <v>351</v>
      </c>
    </row>
    <row r="11" spans="1:2" ht="80" customHeight="1">
      <c r="A11" s="6" t="s">
        <v>352</v>
      </c>
      <c r="B11" s="6" t="s">
        <v>353</v>
      </c>
    </row>
    <row r="12" spans="1:2" ht="80" customHeight="1">
      <c r="A12" s="6" t="s">
        <v>354</v>
      </c>
      <c r="B12" s="6" t="s">
        <v>355</v>
      </c>
    </row>
    <row r="13" spans="1:2" ht="80" customHeight="1">
      <c r="A13" s="6" t="s">
        <v>356</v>
      </c>
      <c r="B13" s="6" t="s">
        <v>357</v>
      </c>
    </row>
    <row r="14" spans="1:2" ht="80" customHeight="1">
      <c r="A14" s="6" t="s">
        <v>358</v>
      </c>
      <c r="B14" s="6" t="s">
        <v>359</v>
      </c>
    </row>
    <row r="15" spans="1:2" ht="80" customHeight="1">
      <c r="A15" s="6" t="s">
        <v>360</v>
      </c>
      <c r="B15" s="6" t="s">
        <v>361</v>
      </c>
    </row>
    <row r="16" spans="1:2" ht="80" customHeight="1">
      <c r="A16" s="6" t="s">
        <v>362</v>
      </c>
      <c r="B16" s="6" t="s">
        <v>363</v>
      </c>
    </row>
    <row r="17" spans="1:2" ht="80" customHeight="1">
      <c r="A17" s="6" t="s">
        <v>364</v>
      </c>
      <c r="B17" s="6" t="s">
        <v>365</v>
      </c>
    </row>
    <row r="18" spans="1:2" ht="80" customHeight="1">
      <c r="A18" s="6" t="s">
        <v>366</v>
      </c>
      <c r="B18" s="6" t="s">
        <v>367</v>
      </c>
    </row>
    <row r="19" spans="1:2" ht="80" customHeight="1">
      <c r="A19" s="6" t="s">
        <v>368</v>
      </c>
      <c r="B19" s="6" t="s">
        <v>369</v>
      </c>
    </row>
    <row r="20" spans="1:2" ht="80" customHeight="1">
      <c r="A20" s="6" t="s">
        <v>370</v>
      </c>
      <c r="B20" s="6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Customers</vt:lpstr>
      <vt:lpstr>MenuItems</vt:lpstr>
      <vt:lpstr>Availability</vt:lpstr>
      <vt:lpstr>Orders</vt:lpstr>
      <vt:lpstr>OrderLines</vt:lpstr>
      <vt:lpstr>KitchenRuns</vt:lpstr>
      <vt:lpstr>Payments</vt:lpstr>
      <vt:lpstr>Calculations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Sarieddine</cp:lastModifiedBy>
  <dcterms:created xsi:type="dcterms:W3CDTF">2026-09-24T21:13:59Z</dcterms:created>
  <dcterms:modified xsi:type="dcterms:W3CDTF">2026-09-24T21:13:59Z</dcterms:modified>
</cp:coreProperties>
</file>