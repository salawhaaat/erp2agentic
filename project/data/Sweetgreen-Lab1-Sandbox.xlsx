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lansarieddine/Documents/"/>
    </mc:Choice>
  </mc:AlternateContent>
  <xr:revisionPtr revIDLastSave="0" documentId="8_{25B234B9-3545-6E43-851D-D342CA7AB35C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Summary" sheetId="1" r:id="rId1"/>
    <sheet name="Customers" sheetId="2" r:id="rId2"/>
    <sheet name="MenuItems" sheetId="3" r:id="rId3"/>
    <sheet name="Orders" sheetId="4" r:id="rId4"/>
    <sheet name="OrderLines" sheetId="5" r:id="rId5"/>
    <sheet name="KitchenRuns" sheetId="6" r:id="rId6"/>
    <sheet name="Payments" sheetId="7" r:id="rId7"/>
    <sheet name="LegacyAvailability" sheetId="8" r:id="rId8"/>
    <sheet name="Calculations" sheetId="9" r:id="rId9"/>
    <sheet name="Guid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9" l="1"/>
  <c r="A30" i="9"/>
  <c r="A29" i="9"/>
  <c r="A28" i="9"/>
  <c r="I27" i="9"/>
  <c r="H27" i="9"/>
  <c r="F27" i="9"/>
  <c r="G27" i="9" s="1"/>
  <c r="J27" i="9" s="1"/>
  <c r="D27" i="9"/>
  <c r="A27" i="9"/>
  <c r="A26" i="9"/>
  <c r="A25" i="9"/>
  <c r="A24" i="9"/>
  <c r="A23" i="9"/>
  <c r="I22" i="9"/>
  <c r="H22" i="9"/>
  <c r="A22" i="9"/>
  <c r="A21" i="9"/>
  <c r="A20" i="9"/>
  <c r="A19" i="9"/>
  <c r="A18" i="9"/>
  <c r="A17" i="9"/>
  <c r="A16" i="9"/>
  <c r="A15" i="9"/>
  <c r="A14" i="9"/>
  <c r="I13" i="9"/>
  <c r="H13" i="9"/>
  <c r="F13" i="9"/>
  <c r="G13" i="9" s="1"/>
  <c r="J13" i="9" s="1"/>
  <c r="D13" i="9"/>
  <c r="E13" i="9" s="1"/>
  <c r="C13" i="9"/>
  <c r="A13" i="9"/>
  <c r="B13" i="9" s="1"/>
  <c r="A12" i="9"/>
  <c r="A11" i="9"/>
  <c r="A10" i="9"/>
  <c r="A9" i="9"/>
  <c r="I8" i="9"/>
  <c r="H8" i="9"/>
  <c r="F8" i="9"/>
  <c r="G8" i="9" s="1"/>
  <c r="J8" i="9" s="1"/>
  <c r="A8" i="9"/>
  <c r="A7" i="9"/>
  <c r="A6" i="9"/>
  <c r="A5" i="9"/>
  <c r="A4" i="9"/>
  <c r="A3" i="9"/>
  <c r="A2" i="9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G2" i="3"/>
  <c r="H2" i="3" s="1"/>
  <c r="B16" i="1"/>
  <c r="B15" i="1"/>
  <c r="B4" i="1"/>
  <c r="B5" i="1" s="1"/>
  <c r="B3" i="1"/>
  <c r="I31" i="9" l="1"/>
  <c r="H31" i="9"/>
  <c r="F31" i="9"/>
  <c r="G31" i="9" s="1"/>
  <c r="J31" i="9" s="1"/>
  <c r="D31" i="9"/>
  <c r="C31" i="9"/>
  <c r="B31" i="9"/>
  <c r="I30" i="9"/>
  <c r="H30" i="9"/>
  <c r="F30" i="9"/>
  <c r="G30" i="9" s="1"/>
  <c r="J30" i="9" s="1"/>
  <c r="D30" i="9"/>
  <c r="C30" i="9"/>
  <c r="B30" i="9"/>
  <c r="I29" i="9"/>
  <c r="H29" i="9"/>
  <c r="F29" i="9"/>
  <c r="G29" i="9" s="1"/>
  <c r="J29" i="9" s="1"/>
  <c r="D29" i="9"/>
  <c r="E29" i="9" s="1"/>
  <c r="C29" i="9"/>
  <c r="B29" i="9"/>
  <c r="F28" i="9"/>
  <c r="G28" i="9" s="1"/>
  <c r="H28" i="9"/>
  <c r="I28" i="9"/>
  <c r="D28" i="9"/>
  <c r="C28" i="9"/>
  <c r="B28" i="9"/>
  <c r="C27" i="9"/>
  <c r="E27" i="9" s="1"/>
  <c r="B27" i="9"/>
  <c r="I26" i="9"/>
  <c r="H26" i="9"/>
  <c r="F26" i="9"/>
  <c r="G26" i="9" s="1"/>
  <c r="J26" i="9" s="1"/>
  <c r="D26" i="9"/>
  <c r="E26" i="9" s="1"/>
  <c r="C26" i="9"/>
  <c r="B26" i="9"/>
  <c r="I25" i="9"/>
  <c r="H25" i="9"/>
  <c r="F25" i="9"/>
  <c r="G25" i="9" s="1"/>
  <c r="D25" i="9"/>
  <c r="C25" i="9"/>
  <c r="B25" i="9"/>
  <c r="C24" i="9"/>
  <c r="F24" i="9"/>
  <c r="G24" i="9" s="1"/>
  <c r="D24" i="9"/>
  <c r="E24" i="9" s="1"/>
  <c r="H24" i="9"/>
  <c r="B24" i="9"/>
  <c r="I24" i="9"/>
  <c r="I23" i="9"/>
  <c r="H23" i="9"/>
  <c r="F23" i="9"/>
  <c r="G23" i="9" s="1"/>
  <c r="J23" i="9" s="1"/>
  <c r="D23" i="9"/>
  <c r="C23" i="9"/>
  <c r="B23" i="9"/>
  <c r="F22" i="9"/>
  <c r="G22" i="9" s="1"/>
  <c r="J22" i="9" s="1"/>
  <c r="D22" i="9"/>
  <c r="C22" i="9"/>
  <c r="B22" i="9"/>
  <c r="I21" i="9"/>
  <c r="H21" i="9"/>
  <c r="F21" i="9"/>
  <c r="G21" i="9" s="1"/>
  <c r="D21" i="9"/>
  <c r="C21" i="9"/>
  <c r="B21" i="9"/>
  <c r="F20" i="9"/>
  <c r="G20" i="9" s="1"/>
  <c r="H20" i="9"/>
  <c r="D20" i="9"/>
  <c r="C20" i="9"/>
  <c r="B20" i="9"/>
  <c r="I20" i="9"/>
  <c r="I19" i="9"/>
  <c r="H19" i="9"/>
  <c r="F19" i="9"/>
  <c r="G19" i="9" s="1"/>
  <c r="J19" i="9" s="1"/>
  <c r="D19" i="9"/>
  <c r="C19" i="9"/>
  <c r="B19" i="9"/>
  <c r="I18" i="9"/>
  <c r="H18" i="9"/>
  <c r="F18" i="9"/>
  <c r="G18" i="9" s="1"/>
  <c r="D18" i="9"/>
  <c r="C18" i="9"/>
  <c r="B18" i="9"/>
  <c r="B17" i="9"/>
  <c r="C17" i="9"/>
  <c r="D17" i="9"/>
  <c r="F17" i="9"/>
  <c r="G17" i="9" s="1"/>
  <c r="J17" i="9" s="1"/>
  <c r="H17" i="9"/>
  <c r="I17" i="9"/>
  <c r="H16" i="9"/>
  <c r="I16" i="9"/>
  <c r="F16" i="9"/>
  <c r="G16" i="9" s="1"/>
  <c r="J16" i="9" s="1"/>
  <c r="D16" i="9"/>
  <c r="C16" i="9"/>
  <c r="B16" i="9"/>
  <c r="C15" i="9"/>
  <c r="B15" i="9"/>
  <c r="I15" i="9"/>
  <c r="H15" i="9"/>
  <c r="F15" i="9"/>
  <c r="G15" i="9" s="1"/>
  <c r="J15" i="9" s="1"/>
  <c r="D15" i="9"/>
  <c r="E15" i="9" s="1"/>
  <c r="B14" i="9"/>
  <c r="C14" i="9"/>
  <c r="D14" i="9"/>
  <c r="E14" i="9" s="1"/>
  <c r="F14" i="9"/>
  <c r="G14" i="9" s="1"/>
  <c r="H14" i="9"/>
  <c r="I14" i="9"/>
  <c r="H12" i="9"/>
  <c r="C12" i="9"/>
  <c r="B12" i="9"/>
  <c r="D12" i="9"/>
  <c r="E12" i="9" s="1"/>
  <c r="F12" i="9"/>
  <c r="G12" i="9" s="1"/>
  <c r="I12" i="9"/>
  <c r="I11" i="9"/>
  <c r="H11" i="9"/>
  <c r="F11" i="9"/>
  <c r="G11" i="9" s="1"/>
  <c r="J11" i="9" s="1"/>
  <c r="D11" i="9"/>
  <c r="C11" i="9"/>
  <c r="B11" i="9"/>
  <c r="B10" i="9"/>
  <c r="I10" i="9"/>
  <c r="H10" i="9"/>
  <c r="F10" i="9"/>
  <c r="G10" i="9" s="1"/>
  <c r="D10" i="9"/>
  <c r="C10" i="9"/>
  <c r="I9" i="9"/>
  <c r="H9" i="9"/>
  <c r="F9" i="9"/>
  <c r="G9" i="9" s="1"/>
  <c r="J9" i="9" s="1"/>
  <c r="D9" i="9"/>
  <c r="E9" i="9" s="1"/>
  <c r="C9" i="9"/>
  <c r="B9" i="9"/>
  <c r="D8" i="9"/>
  <c r="C8" i="9"/>
  <c r="B8" i="9"/>
  <c r="F7" i="9"/>
  <c r="G7" i="9" s="1"/>
  <c r="D7" i="9"/>
  <c r="E7" i="9" s="1"/>
  <c r="C7" i="9"/>
  <c r="B7" i="9"/>
  <c r="I7" i="9"/>
  <c r="H7" i="9"/>
  <c r="I6" i="9"/>
  <c r="H6" i="9"/>
  <c r="F6" i="9"/>
  <c r="G6" i="9" s="1"/>
  <c r="J6" i="9" s="1"/>
  <c r="D6" i="9"/>
  <c r="C6" i="9"/>
  <c r="B6" i="9"/>
  <c r="F5" i="9"/>
  <c r="G5" i="9" s="1"/>
  <c r="D5" i="9"/>
  <c r="C5" i="9"/>
  <c r="B5" i="9"/>
  <c r="I5" i="9"/>
  <c r="H5" i="9"/>
  <c r="I4" i="9"/>
  <c r="H4" i="9"/>
  <c r="F4" i="9"/>
  <c r="G4" i="9" s="1"/>
  <c r="J4" i="9" s="1"/>
  <c r="D4" i="9"/>
  <c r="E4" i="9" s="1"/>
  <c r="C4" i="9"/>
  <c r="B4" i="9"/>
  <c r="B3" i="9"/>
  <c r="C3" i="9"/>
  <c r="D3" i="9"/>
  <c r="E3" i="9" s="1"/>
  <c r="F3" i="9"/>
  <c r="G3" i="9" s="1"/>
  <c r="H3" i="9"/>
  <c r="I3" i="9"/>
  <c r="H2" i="9"/>
  <c r="B11" i="1" s="1"/>
  <c r="B2" i="9"/>
  <c r="C2" i="9"/>
  <c r="D2" i="9"/>
  <c r="F2" i="9"/>
  <c r="I2" i="9"/>
  <c r="B12" i="1" s="1"/>
  <c r="B6" i="1"/>
  <c r="G2" i="9" l="1"/>
  <c r="B9" i="1"/>
  <c r="E31" i="9"/>
  <c r="E30" i="9"/>
  <c r="J28" i="9"/>
  <c r="E28" i="9"/>
  <c r="E19" i="9"/>
  <c r="E18" i="9"/>
  <c r="E17" i="9"/>
  <c r="J3" i="9"/>
  <c r="J25" i="9"/>
  <c r="E25" i="9"/>
  <c r="J24" i="9"/>
  <c r="E23" i="9"/>
  <c r="J21" i="9"/>
  <c r="E21" i="9"/>
  <c r="J20" i="9"/>
  <c r="E20" i="9"/>
  <c r="J18" i="9"/>
  <c r="E22" i="9"/>
  <c r="E16" i="9"/>
  <c r="J14" i="9"/>
  <c r="J12" i="9"/>
  <c r="E11" i="9"/>
  <c r="E8" i="9"/>
  <c r="J7" i="9"/>
  <c r="E6" i="9"/>
  <c r="E5" i="9"/>
  <c r="E2" i="9"/>
  <c r="B7" i="1" s="1"/>
  <c r="B8" i="1" s="1"/>
  <c r="J10" i="9"/>
  <c r="E10" i="9"/>
  <c r="J5" i="9"/>
  <c r="J2" i="9" l="1"/>
  <c r="B10" i="1"/>
  <c r="B13" i="1" s="1"/>
  <c r="B14" i="1" s="1"/>
</calcChain>
</file>

<file path=xl/sharedStrings.xml><?xml version="1.0" encoding="utf-8"?>
<sst xmlns="http://schemas.openxmlformats.org/spreadsheetml/2006/main" count="977" uniqueCount="398">
  <si>
    <t>Sweetgreen Lab 1 sandbox</t>
  </si>
  <si>
    <t>Value</t>
  </si>
  <si>
    <t>Definition</t>
  </si>
  <si>
    <t>Scenario</t>
  </si>
  <si>
    <t>Synthetic</t>
  </si>
  <si>
    <t>30 digital orders; one modeled store; 18 September 2026</t>
  </si>
  <si>
    <t>Orders</t>
  </si>
  <si>
    <t>All orders in the sample</t>
  </si>
  <si>
    <t>Reworked orders</t>
  </si>
  <si>
    <t>D2 rejected; re-entered as Rework; later completed</t>
  </si>
  <si>
    <t>Rework rate</t>
  </si>
  <si>
    <t>Reworked orders / all orders</t>
  </si>
  <si>
    <t>Availability mismatches</t>
  </si>
  <si>
    <t>Current versus independent nightly source; 24 configurations</t>
  </si>
  <si>
    <t>Affected late minutes</t>
  </si>
  <si>
    <t>Sum of readiness lateness, floored at zero</t>
  </si>
  <si>
    <t>Mean affected lateness</t>
  </si>
  <si>
    <t>Minutes past promise, six reworked orders</t>
  </si>
  <si>
    <t>Extra labor minutes</t>
  </si>
  <si>
    <t>Manual recovery effort on affected orders</t>
  </si>
  <si>
    <t>Labor capacity value</t>
  </si>
  <si>
    <t>Extra labor minutes × $0.40/minute assumption</t>
  </si>
  <si>
    <t>Discarded partial prep</t>
  </si>
  <si>
    <t>Recorded synthetic food waste</t>
  </si>
  <si>
    <t>Goodwill refunds</t>
  </si>
  <si>
    <t>Captured-order refunds; separate from costs</t>
  </si>
  <si>
    <t>Total modeled burden</t>
  </si>
  <si>
    <t>Food + labor value + refunds; not a company-wide estimate</t>
  </si>
  <si>
    <t>Burden per reworked order</t>
  </si>
  <si>
    <t>Modeled burden / six reworked orders</t>
  </si>
  <si>
    <t>Captured gross receipts</t>
  </si>
  <si>
    <t>Captured amount before refunds; excludes tax/tips</t>
  </si>
  <si>
    <t>Net receipts</t>
  </si>
  <si>
    <t>Captured gross receipts minus refunds</t>
  </si>
  <si>
    <t>Trace order</t>
  </si>
  <si>
    <t>O001</t>
  </si>
  <si>
    <t>Menu M001 → line L001 → run K001 → exception E001 → payment P001</t>
  </si>
  <si>
    <t>Lab 2 target</t>
  </si>
  <si>
    <t>D2</t>
  </si>
  <si>
    <t>Requested configuration available? Demonstrate stale-source failure, then freshness gate.</t>
  </si>
  <si>
    <t>Lab 3 target</t>
  </si>
  <si>
    <t>D3</t>
  </si>
  <si>
    <t>Recovery choice: urgency, prep ETA, queue impact and constraints/consent.</t>
  </si>
  <si>
    <t>Boundary</t>
  </si>
  <si>
    <t>Hypothesis</t>
  </si>
  <si>
    <t>Source mismatch is injected. Actual Sweetgreen prevalence and causal effect remain unverified.</t>
  </si>
  <si>
    <t>CustomerID</t>
  </si>
  <si>
    <t>Name</t>
  </si>
  <si>
    <t>Segment</t>
  </si>
  <si>
    <t>C001</t>
  </si>
  <si>
    <t>Synthetic Guest 01</t>
  </si>
  <si>
    <t>Pickup</t>
  </si>
  <si>
    <t>C002</t>
  </si>
  <si>
    <t>Synthetic Guest 02</t>
  </si>
  <si>
    <t>Delivery</t>
  </si>
  <si>
    <t>C003</t>
  </si>
  <si>
    <t>Synthetic Guest 03</t>
  </si>
  <si>
    <t>C004</t>
  </si>
  <si>
    <t>Synthetic Guest 04</t>
  </si>
  <si>
    <t>C005</t>
  </si>
  <si>
    <t>Synthetic Guest 05</t>
  </si>
  <si>
    <t>C006</t>
  </si>
  <si>
    <t>Synthetic Guest 06</t>
  </si>
  <si>
    <t>C007</t>
  </si>
  <si>
    <t>Synthetic Guest 07</t>
  </si>
  <si>
    <t>C008</t>
  </si>
  <si>
    <t>Synthetic Guest 08</t>
  </si>
  <si>
    <t>C009</t>
  </si>
  <si>
    <t>Synthetic Guest 09</t>
  </si>
  <si>
    <t>C010</t>
  </si>
  <si>
    <t>Synthetic Guest 10</t>
  </si>
  <si>
    <t>C011</t>
  </si>
  <si>
    <t>Synthetic Guest 11</t>
  </si>
  <si>
    <t>C012</t>
  </si>
  <si>
    <t>Synthetic Guest 12</t>
  </si>
  <si>
    <t>C013</t>
  </si>
  <si>
    <t>Synthetic Guest 13</t>
  </si>
  <si>
    <t>C014</t>
  </si>
  <si>
    <t>Synthetic Guest 14</t>
  </si>
  <si>
    <t>C015</t>
  </si>
  <si>
    <t>Synthetic Guest 15</t>
  </si>
  <si>
    <t>C016</t>
  </si>
  <si>
    <t>Synthetic Guest 16</t>
  </si>
  <si>
    <t>C017</t>
  </si>
  <si>
    <t>Synthetic Guest 17</t>
  </si>
  <si>
    <t>C018</t>
  </si>
  <si>
    <t>Synthetic Guest 18</t>
  </si>
  <si>
    <t>C019</t>
  </si>
  <si>
    <t>Synthetic Guest 19</t>
  </si>
  <si>
    <t>C020</t>
  </si>
  <si>
    <t>Synthetic Guest 20</t>
  </si>
  <si>
    <t>C021</t>
  </si>
  <si>
    <t>Synthetic Guest 21</t>
  </si>
  <si>
    <t>C022</t>
  </si>
  <si>
    <t>Synthetic Guest 22</t>
  </si>
  <si>
    <t>C023</t>
  </si>
  <si>
    <t>Synthetic Guest 23</t>
  </si>
  <si>
    <t>C024</t>
  </si>
  <si>
    <t>Synthetic Guest 24</t>
  </si>
  <si>
    <t>SKU</t>
  </si>
  <si>
    <t>Description</t>
  </si>
  <si>
    <t>CurrentAvailable</t>
  </si>
  <si>
    <t>VerifiedAt</t>
  </si>
  <si>
    <t>UnitPrice</t>
  </si>
  <si>
    <t>EvidenceType</t>
  </si>
  <si>
    <t>CachedAvailable (lookup)</t>
  </si>
  <si>
    <t>Mismatch (derived)</t>
  </si>
  <si>
    <t>M001</t>
  </si>
  <si>
    <t>Synthetic meal configuration 01</t>
  </si>
  <si>
    <t>Synthetic scenario</t>
  </si>
  <si>
    <t>M002</t>
  </si>
  <si>
    <t>Synthetic meal configuration 02</t>
  </si>
  <si>
    <t>M003</t>
  </si>
  <si>
    <t>Synthetic meal configuration 03</t>
  </si>
  <si>
    <t>M004</t>
  </si>
  <si>
    <t>Synthetic meal configuration 04</t>
  </si>
  <si>
    <t>M005</t>
  </si>
  <si>
    <t>Synthetic meal configuration 05</t>
  </si>
  <si>
    <t>M006</t>
  </si>
  <si>
    <t>Synthetic meal configuration 06</t>
  </si>
  <si>
    <t>M007</t>
  </si>
  <si>
    <t>Synthetic meal configuration 07</t>
  </si>
  <si>
    <t>M008</t>
  </si>
  <si>
    <t>Synthetic meal configuration 08</t>
  </si>
  <si>
    <t>M009</t>
  </si>
  <si>
    <t>Synthetic meal configuration 09</t>
  </si>
  <si>
    <t>M010</t>
  </si>
  <si>
    <t>Synthetic meal configuration 10</t>
  </si>
  <si>
    <t>M011</t>
  </si>
  <si>
    <t>Synthetic meal configuration 11</t>
  </si>
  <si>
    <t>M012</t>
  </si>
  <si>
    <t>Synthetic meal configuration 12</t>
  </si>
  <si>
    <t>M013</t>
  </si>
  <si>
    <t>Synthetic meal configuration 13</t>
  </si>
  <si>
    <t>M014</t>
  </si>
  <si>
    <t>Synthetic meal configuration 14</t>
  </si>
  <si>
    <t>M015</t>
  </si>
  <si>
    <t>Synthetic meal configuration 15</t>
  </si>
  <si>
    <t>M016</t>
  </si>
  <si>
    <t>Synthetic meal configuration 16</t>
  </si>
  <si>
    <t>M017</t>
  </si>
  <si>
    <t>Synthetic meal configuration 17</t>
  </si>
  <si>
    <t>M018</t>
  </si>
  <si>
    <t>Synthetic meal configuration 18</t>
  </si>
  <si>
    <t>M019</t>
  </si>
  <si>
    <t>Synthetic meal configuration 19</t>
  </si>
  <si>
    <t>M020</t>
  </si>
  <si>
    <t>Synthetic meal configuration 20</t>
  </si>
  <si>
    <t>M021</t>
  </si>
  <si>
    <t>Synthetic meal configuration 21</t>
  </si>
  <si>
    <t>M022</t>
  </si>
  <si>
    <t>Synthetic meal configuration 22</t>
  </si>
  <si>
    <t>M023</t>
  </si>
  <si>
    <t>Synthetic meal configuration 23</t>
  </si>
  <si>
    <t>M024</t>
  </si>
  <si>
    <t>Synthetic meal configuration 24</t>
  </si>
  <si>
    <t>OrderID</t>
  </si>
  <si>
    <t>CreatedAt</t>
  </si>
  <si>
    <t>Channel</t>
  </si>
  <si>
    <t>PromisedAt</t>
  </si>
  <si>
    <t>OrderStatus</t>
  </si>
  <si>
    <t>StoreID</t>
  </si>
  <si>
    <t>Web</t>
  </si>
  <si>
    <t>Completed</t>
  </si>
  <si>
    <t>SYN-01</t>
  </si>
  <si>
    <t>O002</t>
  </si>
  <si>
    <t>Third-party</t>
  </si>
  <si>
    <t>O003</t>
  </si>
  <si>
    <t>App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</si>
  <si>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</si>
  <si>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</si>
  <si>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</si>
  <si>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</si>
  <si>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</si>
  <si>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</si>
  <si>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</si>
  <si>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</si>
  <si>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</si>
  <si>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</si>
  <si>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</si>
  <si>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</si>
  <si>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</si>
  <si>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</si>
  <si>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</si>
  <si>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</si>
  <si>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</si>
  <si>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</si>
  <si>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</si>
  <si>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</si>
  <si>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</si>
  <si>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</si>
  <si>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</si>
  <si>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</si>
  <si>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</si>
  <si>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</si>
  <si>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</si>
  <si>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LineID</t>
  </si>
  <si>
    <t>Qty</t>
  </si>
  <si>
    <t>LineAmount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</si>
  <si>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</si>
  <si>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</si>
  <si>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</si>
  <si>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</si>
  <si>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</si>
  <si>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</si>
  <si>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</si>
  <si>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</si>
  <si>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</si>
  <si>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</si>
  <si>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</si>
  <si>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</si>
  <si>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</si>
  <si>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</si>
  <si>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</si>
  <si>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</si>
  <si>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</si>
  <si>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</si>
  <si>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</si>
  <si>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</si>
  <si>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</si>
  <si>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</si>
  <si>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</si>
  <si>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</si>
  <si>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</si>
  <si>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</si>
  <si>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</si>
  <si>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</si>
  <si>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</si>
  <si>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</si>
  <si>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</si>
  <si>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</si>
  <si>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</si>
  <si>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</si>
  <si>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</si>
  <si>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</si>
  <si>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</si>
  <si>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</si>
  <si>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</si>
  <si>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</si>
  <si>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RunID</t>
  </si>
  <si>
    <t>GateStatus</t>
  </si>
  <si>
    <t>RejectedAt</t>
  </si>
  <si>
    <t>ReentryStatus</t>
  </si>
  <si>
    <t>ReenteredAt</t>
  </si>
  <si>
    <t>ReadyAt</t>
  </si>
  <si>
    <t>HandoffAt</t>
  </si>
  <si>
    <t>ExtraLaborMin</t>
  </si>
  <si>
    <t>FoodWasteUSD</t>
  </si>
  <si>
    <t>JudgmentNote</t>
  </si>
  <si>
    <t>RecoveryChoice</t>
  </si>
  <si>
    <t>Consent</t>
  </si>
  <si>
    <t>Urgency</t>
  </si>
  <si>
    <t>PrepETAmin</t>
  </si>
  <si>
    <t>QueueMin</t>
  </si>
  <si>
    <t>Constraint</t>
  </si>
  <si>
    <t>ExceptionID</t>
  </si>
  <si>
    <t>K001</t>
  </si>
  <si>
    <t>Rejected</t>
  </si>
  <si>
    <t>Rework</t>
  </si>
  <si>
    <t>Pickup deadline in 10 minutes; fresh prep takes 12. Guest asks whether to wait or cancel.</t>
  </si>
  <si>
    <t>Wait for fresh prep</t>
  </si>
  <si>
    <t>Customer agreed</t>
  </si>
  <si>
    <t>Pickup deadline</t>
  </si>
  <si>
    <t>No substitution without consent</t>
  </si>
  <si>
    <t>E001</t>
  </si>
  <si>
    <t>K002</t>
  </si>
  <si>
    <t>Guest permits some changes but flags an ingredient restriction. Manager must clarify safe choices; do not infer safety.</t>
  </si>
  <si>
    <t>Ingredient restriction; human confirmation required</t>
  </si>
  <si>
    <t>E002</t>
  </si>
  <si>
    <t>K003</t>
  </si>
  <si>
    <t>Driver waiting; two delayed orders compete for next prep slot. Weigh lateness and queue impact, not customer spend.</t>
  </si>
  <si>
    <t>Driver waiting; competing delayed order</t>
  </si>
  <si>
    <t>E003</t>
  </si>
  <si>
    <t>K004</t>
  </si>
  <si>
    <t>None</t>
  </si>
  <si>
    <t>E004</t>
  </si>
  <si>
    <t>K005</t>
  </si>
  <si>
    <t>E005</t>
  </si>
  <si>
    <t>K006</t>
  </si>
  <si>
    <t>E006</t>
  </si>
  <si>
    <t>K007</t>
  </si>
  <si>
    <t>Accepted</t>
  </si>
  <si>
    <t>Not required</t>
  </si>
  <si>
    <t>Original meal</t>
  </si>
  <si>
    <t>Not needed</t>
  </si>
  <si>
    <t>Routine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</si>
  <si>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</si>
  <si>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</si>
  <si>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</si>
  <si>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</si>
  <si>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</si>
  <si>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</si>
  <si>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</si>
  <si>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</si>
  <si>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</si>
  <si>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</si>
  <si>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</si>
  <si>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</si>
  <si>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</si>
  <si>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</si>
  <si>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</si>
  <si>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</si>
  <si>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</si>
  <si>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</si>
  <si>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</si>
  <si>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</si>
  <si>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</si>
  <si>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</si>
  <si>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</si>
  <si>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PaymentID</t>
  </si>
  <si>
    <t>AuthorizedAt</t>
  </si>
  <si>
    <t>CapturedUSD</t>
  </si>
  <si>
    <t>RefundUSD</t>
  </si>
  <si>
    <t>NetUSD</t>
  </si>
  <si>
    <t>PostedAt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</si>
  <si>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</si>
  <si>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</si>
  <si>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</si>
  <si>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</si>
  <si>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</si>
  <si>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</si>
  <si>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</si>
  <si>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</si>
  <si>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</si>
  <si>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</si>
  <si>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</si>
  <si>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</si>
  <si>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</si>
  <si>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</si>
  <si>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</si>
  <si>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</si>
  <si>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</si>
  <si>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</si>
  <si>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</si>
  <si>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</si>
  <si>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</si>
  <si>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</si>
  <si>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</si>
  <si>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</si>
  <si>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</si>
  <si>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</si>
  <si>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</si>
  <si>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</si>
  <si>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</si>
  <si>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</si>
  <si>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SnapshotAvailable</t>
  </si>
  <si>
    <t>SnapshotAt</t>
  </si>
  <si>
    <t>Source</t>
  </si>
  <si>
    <t>Nightly channel cache</t>
  </si>
  <si>
    <t>Synthetic curveball</t>
  </si>
  <si>
    <t>LateMinutes</t>
  </si>
  <si>
    <t>LaborValueUSD</t>
  </si>
  <si>
    <t>BurdenUSD</t>
  </si>
  <si>
    <t>Topic</t>
  </si>
  <si>
    <t>Definition / source</t>
  </si>
  <si>
    <t>Synthetic scope</t>
  </si>
  <si>
    <t>One hypothetical store SYN-01; 30 orders on 2026-09-18. Every row is synthetic. No real customer or restaurant data.</t>
  </si>
  <si>
    <t>Units</t>
  </si>
  <si>
    <t>USD; durations in minutes. Timestamps use local restaurant time (America/New_York) without timezone conversion.</t>
  </si>
  <si>
    <t>Labor cost per minute</t>
  </si>
  <si>
    <t>Labor assumption</t>
  </si>
  <si>
    <t>Illustrative loaded rate $24/hour. Models capacity consumed, not automatically additional payroll.</t>
  </si>
  <si>
    <t>Summary burden</t>
  </si>
  <si>
    <t>Discarded partial prep + labor time value + goodwill refunds. Do not add net receipts or gross sales to this number.</t>
  </si>
  <si>
    <t>Data grain</t>
  </si>
  <si>
    <t>Customers: guest; MenuItems: configuration; Orders: order; OrderLines: requested line; KitchenRuns: one order lifecycle; Payments: capture/refund summary; LegacyAvailability: independent snapshot/configuration.</t>
  </si>
  <si>
    <t>Keys</t>
  </si>
  <si>
    <t>CustomerID → Orders; OrderID → lines/runs/payments; SKU → MenuItems. Legacy SKU matches for comparison only; do not overwrite discrepancies.</t>
  </si>
  <si>
    <t>Status history</t>
  </si>
  <si>
    <t>Orders are Completed at final snapshot. KitchenRuns preserves Rejected → Rework via separate status and timestamp fields.</t>
  </si>
  <si>
    <t>Availability assumption</t>
  </si>
  <si>
    <t>CurrentAvailable=0: critical ingredient prevents completing this configuration until fresh prep. 1: fulfillable. It is not a quantity or reservation model.</t>
  </si>
  <si>
    <t>Food waste assumption</t>
  </si>
  <si>
    <t>Partial base prep begins before D2 checks the critical ingredient. Recovery discards some prep, recorded in FoodWasteUSD.</t>
  </si>
  <si>
    <t>Ready versus handoff</t>
  </si>
  <si>
    <t>Lateness is ReadyAt minus PromisedAt, floored at zero; handoff follows one minute later. PromisedAt is readiness promise.</t>
  </si>
  <si>
    <t>Clean generation</t>
  </si>
  <si>
    <t>Clean linked data first; deliberate changes then applied. The private changes CSV records every mutation. Arithmetic remains formula-driven.</t>
  </si>
  <si>
    <t>Observed paths</t>
  </si>
  <si>
    <t>Six D2 rejections recover and complete. D1 failure, D3 cancellation and D4 quality rejection are drawn but unexercised alternatives.</t>
  </si>
  <si>
    <t>Judgment inputs</t>
  </si>
  <si>
    <t>Urgency, PrepETAmin, QueueMin, Constraint/Consent. A manager confirms safety and the recovery choice; AI does not infer allergy safety.</t>
  </si>
  <si>
    <t>Source freshness</t>
  </si>
  <si>
    <t>Nightly snapshot 2026-09-17 22:00; current kitchen check 2026-09-18 11:45. Overnight cadence is the chosen curveball, not a researched Sweetgreen fact.</t>
  </si>
  <si>
    <t>Actual evidence needed</t>
  </si>
  <si>
    <t>Validate flow with crew; measure source update logs, exception reasons, ready/promise timestamps, waste, labor and refunds before a pilot.</t>
  </si>
  <si>
    <t>Lecture source</t>
  </si>
  <si>
    <t>W3_Lab1_Lecture Notes.pdf pp. 3,7,9,11: map, three points, curveball, sandbox, presentation and Monday Google Workspace submission.</t>
  </si>
  <si>
    <t>Study-note source</t>
  </si>
  <si>
    <t>IE-GY-9113B_Lab1_StudyNote.pdf §§4–5: 5–7 source tables, 20–50 rows each, named gateways, requirements and private flaws key.</t>
  </si>
  <si>
    <t>Starting briefs</t>
  </si>
  <si>
    <t>Backbone-Context-Note-Sweetgreen.pdf; Context-and-Diagnosis-Brief-Sweetgreen.pdf. Exact vendor routing and operational-control assertions are not assumed proven.</t>
  </si>
  <si>
    <t>Wonder source</t>
  </si>
  <si>
    <t>https://www.sec.gov/Archives/edgar/data/1477815/000162828026000636/exhibit992-projectwallypro.htm</t>
  </si>
  <si>
    <t>Model limit</t>
  </si>
  <si>
    <t>The planted 20% rework rate and $72 burden are not estimates of real Sweetgreen performance. No annual extrapolation or guaranteed savings.</t>
  </si>
  <si>
    <t>Generation tool</t>
  </si>
  <si>
    <t>Deterministic script, not Gemini. Use handoff prompts if the instructor specifically requires the default Gemini exercise.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</si>
</sst>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\$0.00"/>
    <numFmt numFmtId="166" formatCode="0.0%"/>
    <numFmt numFmtId="167" formatCode="0.0"/>
  </numFmts>
  <fonts count="4">
    <font>
      <sz val="11"/>
      <name val="Carlito"/>
    </font>
    <font>
      <sz val="11"/>
      <color rgb="FF202124"/>
      <name val="Arial"/>
    </font>
    <font>
      <b/>
      <sz val="11"/>
      <color rgb="FF202124"/>
      <name val="Arial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8E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64" fontId="1" fillId="0" borderId="0" xfId="0" applyNumberFormat="1" applyFont="1"/>
    <xf numFmtId="0" fontId="1" fillId="0" borderId="0" xfId="0" applyFont="1" applyAlignment="1">
      <alignment wrapText="1"/>
    </xf>
    <xf numFmtId="165" fontId="1" fillId="0" borderId="0" xfId="0" applyNumberFormat="1" applyFont="1"/>
    <xf numFmtId="0" fontId="3" fillId="2" borderId="0" xfId="0" applyFont="1" applyFill="1" applyAlignment="1">
      <alignment wrapText="1"/>
    </xf>
    <xf numFmtId="165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wrapText="1"/>
    </xf>
    <xf numFmtId="167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6" workbookViewId="0">
      <selection activeCell="A18" sqref="A18"/>
    </sheetView>
  </sheetViews>
  <sheetFormatPr baseColWidth="10" defaultColWidth="8.83203125" defaultRowHeight="15"/>
  <cols>
    <col min="1" max="1" width="31" customWidth="1"/>
    <col min="2" max="2" width="20" customWidth="1"/>
    <col min="3" max="3" width="84" customWidth="1"/>
  </cols>
  <sheetData>
    <row r="1" spans="1:3" ht="36" customHeight="1">
      <c r="A1" s="2" t="s">
        <v>0</v>
      </c>
      <c r="B1" s="2" t="s">
        <v>1</v>
      </c>
      <c r="C1" s="2" t="s">
        <v>2</v>
      </c>
    </row>
    <row r="2" spans="1:3" ht="38" customHeight="1">
      <c r="A2" s="4" t="s">
        <v>3</v>
      </c>
      <c r="B2" s="4" t="s">
        <v>4</v>
      </c>
      <c r="C2" s="4" t="s">
        <v>5</v>
      </c>
    </row>
    <row r="3" spans="1:3" ht="38" customHeight="1">
      <c r="A3" s="4" t="s">
        <v>6</v>
      </c>
      <c r="B3" s="4">
        <f>COUNTA(Orders!A2:A31)</f>
        <v>30</v>
      </c>
      <c r="C3" s="4" t="s">
        <v>7</v>
      </c>
    </row>
    <row r="4" spans="1:3" ht="38" customHeight="1">
      <c r="A4" s="4" t="s">
        <v>8</v>
      </c>
      <c r="B4" s="4">
        <f>COUNTIF(KitchenRuns!E2:E31,"Rework")</f>
        <v>6</v>
      </c>
      <c r="C4" s="4" t="s">
        <v>9</v>
      </c>
    </row>
    <row r="5" spans="1:3" ht="38" customHeight="1">
      <c r="A5" s="4" t="s">
        <v>10</v>
      </c>
      <c r="B5" s="8">
        <f>B4/B3</f>
        <v>0.2</v>
      </c>
      <c r="C5" s="4" t="s">
        <v>11</v>
      </c>
    </row>
    <row r="6" spans="1:3" ht="38" customHeight="1">
      <c r="A6" s="4" t="s">
        <v>12</v>
      </c>
      <c r="B6" s="4">
        <f>SUM(MenuItems!H2:H25)</f>
        <v>10</v>
      </c>
      <c r="C6" s="4" t="s">
        <v>13</v>
      </c>
    </row>
    <row r="7" spans="1:3" ht="38" customHeight="1">
      <c r="A7" s="4" t="s">
        <v>14</v>
      </c>
      <c r="B7" s="4">
        <f>SUM(Calculations!E2:E31)</f>
        <v>112</v>
      </c>
      <c r="C7" s="4" t="s">
        <v>15</v>
      </c>
    </row>
    <row r="8" spans="1:3" ht="38" customHeight="1">
      <c r="A8" s="4" t="s">
        <v>16</v>
      </c>
      <c r="B8" s="9">
        <f>B7/B4</f>
        <v>18.666666666666668</v>
      </c>
      <c r="C8" s="4" t="s">
        <v>17</v>
      </c>
    </row>
    <row r="9" spans="1:3" ht="38" customHeight="1">
      <c r="A9" s="4" t="s">
        <v>18</v>
      </c>
      <c r="B9" s="4">
        <f>SUM(Calculations!F2:F31)</f>
        <v>60</v>
      </c>
      <c r="C9" s="4" t="s">
        <v>19</v>
      </c>
    </row>
    <row r="10" spans="1:3" ht="38" customHeight="1">
      <c r="A10" s="4" t="s">
        <v>20</v>
      </c>
      <c r="B10" s="7">
        <f>SUM(Calculations!G2:G31)</f>
        <v>24</v>
      </c>
      <c r="C10" s="4" t="s">
        <v>21</v>
      </c>
    </row>
    <row r="11" spans="1:3" ht="38" customHeight="1">
      <c r="A11" s="4" t="s">
        <v>22</v>
      </c>
      <c r="B11" s="7">
        <f>SUM(Calculations!H2:H31)</f>
        <v>28</v>
      </c>
      <c r="C11" s="4" t="s">
        <v>23</v>
      </c>
    </row>
    <row r="12" spans="1:3" ht="38" customHeight="1">
      <c r="A12" s="4" t="s">
        <v>24</v>
      </c>
      <c r="B12" s="7">
        <f>SUM(Calculations!I2:I31)</f>
        <v>20</v>
      </c>
      <c r="C12" s="4" t="s">
        <v>25</v>
      </c>
    </row>
    <row r="13" spans="1:3" ht="38" customHeight="1">
      <c r="A13" s="10" t="s">
        <v>26</v>
      </c>
      <c r="B13" s="11">
        <f>SUM(B10:B12)</f>
        <v>72</v>
      </c>
      <c r="C13" s="10" t="s">
        <v>27</v>
      </c>
    </row>
    <row r="14" spans="1:3" ht="38" customHeight="1">
      <c r="A14" s="4" t="s">
        <v>28</v>
      </c>
      <c r="B14" s="7">
        <f>B13/B4</f>
        <v>12</v>
      </c>
      <c r="C14" s="4" t="s">
        <v>29</v>
      </c>
    </row>
    <row r="15" spans="1:3" ht="38" customHeight="1">
      <c r="A15" s="4" t="s">
        <v>30</v>
      </c>
      <c r="B15" s="7">
        <f>SUM(Payments!D2:D31)</f>
        <v>644</v>
      </c>
      <c r="C15" s="4" t="s">
        <v>31</v>
      </c>
    </row>
    <row r="16" spans="1:3" ht="38" customHeight="1">
      <c r="A16" s="4" t="s">
        <v>32</v>
      </c>
      <c r="B16" s="7">
        <f>SUM(Payments!F2:F31)</f>
        <v>624</v>
      </c>
      <c r="C16" s="4" t="s">
        <v>33</v>
      </c>
    </row>
    <row r="17" spans="1:3" ht="38" customHeight="1">
      <c r="A17" s="4" t="s">
        <v>34</v>
      </c>
      <c r="B17" s="4" t="s">
        <v>35</v>
      </c>
      <c r="C17" s="4" t="s">
        <v>36</v>
      </c>
    </row>
    <row r="18" spans="1:3" ht="38" customHeight="1">
      <c r="A18" s="4" t="s">
        <v>37</v>
      </c>
      <c r="B18" s="4" t="s">
        <v>38</v>
      </c>
      <c r="C18" s="4" t="s">
        <v>39</v>
      </c>
    </row>
    <row r="19" spans="1:3" ht="38" customHeight="1">
      <c r="A19" s="4" t="s">
        <v>40</v>
      </c>
      <c r="B19" s="4" t="s">
        <v>41</v>
      </c>
      <c r="C19" s="4" t="s">
        <v>42</v>
      </c>
    </row>
    <row r="20" spans="1:3" ht="38" customHeight="1">
      <c r="A20" s="4" t="s">
        <v>43</v>
      </c>
      <c r="B20" s="4" t="s">
        <v>44</v>
      </c>
      <c r="C20" s="4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0" customWidth="1"/>
    <col min="2" max="2" width="27" customWidth="1"/>
    <col min="3" max="3" width="20" customWidth="1"/>
  </cols>
  <sheetData>
    <row r="1" spans="1:3" ht="36" customHeight="1">
      <c r="A1" s="2" t="s">
        <v>46</v>
      </c>
      <c r="B1" s="2" t="s">
        <v>47</v>
      </c>
      <c r="C1" s="2" t="s">
        <v>48</v>
      </c>
    </row>
    <row r="2" spans="1:3" ht="27" customHeight="1">
      <c r="A2" s="1" t="s">
        <v>49</v>
      </c>
      <c r="B2" s="1" t="s">
        <v>50</v>
      </c>
      <c r="C2" s="1" t="s">
        <v>51</v>
      </c>
    </row>
    <row r="3" spans="1:3" ht="27" customHeight="1">
      <c r="A3" s="1" t="s">
        <v>52</v>
      </c>
      <c r="B3" s="1" t="s">
        <v>53</v>
      </c>
      <c r="C3" s="1" t="s">
        <v>54</v>
      </c>
    </row>
    <row r="4" spans="1:3" ht="27" customHeight="1">
      <c r="A4" s="1" t="s">
        <v>55</v>
      </c>
      <c r="B4" s="1" t="s">
        <v>56</v>
      </c>
      <c r="C4" s="1" t="s">
        <v>51</v>
      </c>
    </row>
    <row r="5" spans="1:3" ht="27" customHeight="1">
      <c r="A5" s="1" t="s">
        <v>57</v>
      </c>
      <c r="B5" s="1" t="s">
        <v>58</v>
      </c>
      <c r="C5" s="1" t="s">
        <v>54</v>
      </c>
    </row>
    <row r="6" spans="1:3" ht="27" customHeight="1">
      <c r="A6" s="1" t="s">
        <v>59</v>
      </c>
      <c r="B6" s="1" t="s">
        <v>60</v>
      </c>
      <c r="C6" s="1" t="s">
        <v>51</v>
      </c>
    </row>
    <row r="7" spans="1:3" ht="27" customHeight="1">
      <c r="A7" s="1" t="s">
        <v>61</v>
      </c>
      <c r="B7" s="1" t="s">
        <v>62</v>
      </c>
      <c r="C7" s="1" t="s">
        <v>54</v>
      </c>
    </row>
    <row r="8" spans="1:3" ht="27" customHeight="1">
      <c r="A8" s="1" t="s">
        <v>63</v>
      </c>
      <c r="B8" s="1" t="s">
        <v>64</v>
      </c>
      <c r="C8" s="1" t="s">
        <v>51</v>
      </c>
    </row>
    <row r="9" spans="1:3" ht="27" customHeight="1">
      <c r="A9" s="1" t="s">
        <v>65</v>
      </c>
      <c r="B9" s="1" t="s">
        <v>66</v>
      </c>
      <c r="C9" s="1" t="s">
        <v>54</v>
      </c>
    </row>
    <row r="10" spans="1:3" ht="27" customHeight="1">
      <c r="A10" s="1" t="s">
        <v>67</v>
      </c>
      <c r="B10" s="1" t="s">
        <v>68</v>
      </c>
      <c r="C10" s="1" t="s">
        <v>51</v>
      </c>
    </row>
    <row r="11" spans="1:3" ht="27" customHeight="1">
      <c r="A11" s="1" t="s">
        <v>69</v>
      </c>
      <c r="B11" s="1" t="s">
        <v>70</v>
      </c>
      <c r="C11" s="1" t="s">
        <v>54</v>
      </c>
    </row>
    <row r="12" spans="1:3" ht="27" customHeight="1">
      <c r="A12" s="1" t="s">
        <v>71</v>
      </c>
      <c r="B12" s="1" t="s">
        <v>72</v>
      </c>
      <c r="C12" s="1" t="s">
        <v>51</v>
      </c>
    </row>
    <row r="13" spans="1:3" ht="27" customHeight="1">
      <c r="A13" s="1" t="s">
        <v>73</v>
      </c>
      <c r="B13" s="1" t="s">
        <v>74</v>
      </c>
      <c r="C13" s="1" t="s">
        <v>54</v>
      </c>
    </row>
    <row r="14" spans="1:3" ht="27" customHeight="1">
      <c r="A14" s="1" t="s">
        <v>75</v>
      </c>
      <c r="B14" s="1" t="s">
        <v>76</v>
      </c>
      <c r="C14" s="1" t="s">
        <v>51</v>
      </c>
    </row>
    <row r="15" spans="1:3" ht="27" customHeight="1">
      <c r="A15" s="1" t="s">
        <v>77</v>
      </c>
      <c r="B15" s="1" t="s">
        <v>78</v>
      </c>
      <c r="C15" s="1" t="s">
        <v>54</v>
      </c>
    </row>
    <row r="16" spans="1:3" ht="27" customHeight="1">
      <c r="A16" s="1" t="s">
        <v>79</v>
      </c>
      <c r="B16" s="1" t="s">
        <v>80</v>
      </c>
      <c r="C16" s="1" t="s">
        <v>51</v>
      </c>
    </row>
    <row r="17" spans="1:3" ht="27" customHeight="1">
      <c r="A17" s="1" t="s">
        <v>81</v>
      </c>
      <c r="B17" s="1" t="s">
        <v>82</v>
      </c>
      <c r="C17" s="1" t="s">
        <v>54</v>
      </c>
    </row>
    <row r="18" spans="1:3" ht="27" customHeight="1">
      <c r="A18" s="1" t="s">
        <v>83</v>
      </c>
      <c r="B18" s="1" t="s">
        <v>84</v>
      </c>
      <c r="C18" s="1" t="s">
        <v>51</v>
      </c>
    </row>
    <row r="19" spans="1:3" ht="27" customHeight="1">
      <c r="A19" s="1" t="s">
        <v>85</v>
      </c>
      <c r="B19" s="1" t="s">
        <v>86</v>
      </c>
      <c r="C19" s="1" t="s">
        <v>54</v>
      </c>
    </row>
    <row r="20" spans="1:3" ht="27" customHeight="1">
      <c r="A20" s="1" t="s">
        <v>87</v>
      </c>
      <c r="B20" s="1" t="s">
        <v>88</v>
      </c>
      <c r="C20" s="1" t="s">
        <v>51</v>
      </c>
    </row>
    <row r="21" spans="1:3" ht="27" customHeight="1">
      <c r="A21" s="1" t="s">
        <v>89</v>
      </c>
      <c r="B21" s="1" t="s">
        <v>90</v>
      </c>
      <c r="C21" s="1" t="s">
        <v>54</v>
      </c>
    </row>
    <row r="22" spans="1:3" ht="27" customHeight="1">
      <c r="A22" s="1" t="s">
        <v>91</v>
      </c>
      <c r="B22" s="1" t="s">
        <v>92</v>
      </c>
      <c r="C22" s="1" t="s">
        <v>51</v>
      </c>
    </row>
    <row r="23" spans="1:3" ht="27" customHeight="1">
      <c r="A23" s="1" t="s">
        <v>93</v>
      </c>
      <c r="B23" s="1" t="s">
        <v>94</v>
      </c>
      <c r="C23" s="1" t="s">
        <v>54</v>
      </c>
    </row>
    <row r="24" spans="1:3" ht="27" customHeight="1">
      <c r="A24" s="1" t="s">
        <v>95</v>
      </c>
      <c r="B24" s="1" t="s">
        <v>96</v>
      </c>
      <c r="C24" s="1" t="s">
        <v>51</v>
      </c>
    </row>
    <row r="25" spans="1:3" ht="27" customHeight="1">
      <c r="A25" s="1" t="s">
        <v>97</v>
      </c>
      <c r="B25" s="1" t="s">
        <v>98</v>
      </c>
      <c r="C25" s="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0" customWidth="1"/>
    <col min="2" max="2" width="38" customWidth="1"/>
    <col min="3" max="3" width="20" customWidth="1"/>
    <col min="4" max="4" width="25" customWidth="1"/>
    <col min="5" max="6" width="20" customWidth="1"/>
    <col min="7" max="8" width="26" customWidth="1"/>
  </cols>
  <sheetData>
    <row r="1" spans="1:8" ht="36" customHeight="1">
      <c r="A1" s="2" t="s">
        <v>99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6" t="s">
        <v>105</v>
      </c>
      <c r="H1" s="6" t="s">
        <v>106</v>
      </c>
    </row>
    <row r="2" spans="1:8" ht="27" customHeight="1">
      <c r="A2" s="1" t="s">
        <v>107</v>
      </c>
      <c r="B2" s="1" t="s">
        <v>108</v>
      </c>
      <c r="C2" s="1">
        <v>0</v>
      </c>
      <c r="D2" s="3">
        <v>46283.489583333336</v>
      </c>
      <c r="E2" s="5">
        <v>15</v>
      </c>
      <c r="F2" s="1" t="s">
        <v>109</v>
      </c>
      <c r="G2">
        <f>INDEX(LegacyAvailability!$B$2:$B$25,MATCH(A2,LegacyAvailability!$A$2:$A$25,0))</f>
        <v>1</v>
      </c>
      <c r="H2">
        <f t="shared" ref="H2:H25" si="0">IF(C2=G2,0,1)</f>
        <v>1</v>
      </c>
    </row>
    <row r="3" spans="1:8" ht="27" customHeight="1">
      <c r="A3" s="1" t="s">
        <v>110</v>
      </c>
      <c r="B3" s="1" t="s">
        <v>111</v>
      </c>
      <c r="C3" s="1">
        <v>0</v>
      </c>
      <c r="D3" s="3">
        <v>46283.489583333336</v>
      </c>
      <c r="E3" s="5">
        <v>16</v>
      </c>
      <c r="F3" s="1" t="s">
        <v>109</v>
      </c>
      <c r="G3">
        <f>INDEX(LegacyAvailability!$B$2:$B$25,MATCH(A3,LegacyAvailability!$A$2:$A$25,0))</f>
        <v>1</v>
      </c>
      <c r="H3">
        <f t="shared" si="0"/>
        <v>1</v>
      </c>
    </row>
    <row r="4" spans="1:8" ht="27" customHeight="1">
      <c r="A4" s="1" t="s">
        <v>112</v>
      </c>
      <c r="B4" s="1" t="s">
        <v>113</v>
      </c>
      <c r="C4" s="1">
        <v>0</v>
      </c>
      <c r="D4" s="3">
        <v>46283.489583333336</v>
      </c>
      <c r="E4" s="5">
        <v>17</v>
      </c>
      <c r="F4" s="1" t="s">
        <v>109</v>
      </c>
      <c r="G4">
        <f>INDEX(LegacyAvailability!$B$2:$B$25,MATCH(A4,LegacyAvailability!$A$2:$A$25,0))</f>
        <v>1</v>
      </c>
      <c r="H4">
        <f t="shared" si="0"/>
        <v>1</v>
      </c>
    </row>
    <row r="5" spans="1:8" ht="27" customHeight="1">
      <c r="A5" s="1" t="s">
        <v>114</v>
      </c>
      <c r="B5" s="1" t="s">
        <v>115</v>
      </c>
      <c r="C5" s="1">
        <v>0</v>
      </c>
      <c r="D5" s="3">
        <v>46283.489583333336</v>
      </c>
      <c r="E5" s="5">
        <v>18</v>
      </c>
      <c r="F5" s="1" t="s">
        <v>109</v>
      </c>
      <c r="G5">
        <f>INDEX(LegacyAvailability!$B$2:$B$25,MATCH(A5,LegacyAvailability!$A$2:$A$25,0))</f>
        <v>1</v>
      </c>
      <c r="H5">
        <f t="shared" si="0"/>
        <v>1</v>
      </c>
    </row>
    <row r="6" spans="1:8" ht="27" customHeight="1">
      <c r="A6" s="1" t="s">
        <v>116</v>
      </c>
      <c r="B6" s="1" t="s">
        <v>117</v>
      </c>
      <c r="C6" s="1">
        <v>0</v>
      </c>
      <c r="D6" s="3">
        <v>46283.489583333336</v>
      </c>
      <c r="E6" s="5">
        <v>14</v>
      </c>
      <c r="F6" s="1" t="s">
        <v>109</v>
      </c>
      <c r="G6">
        <f>INDEX(LegacyAvailability!$B$2:$B$25,MATCH(A6,LegacyAvailability!$A$2:$A$25,0))</f>
        <v>1</v>
      </c>
      <c r="H6">
        <f t="shared" si="0"/>
        <v>1</v>
      </c>
    </row>
    <row r="7" spans="1:8" ht="27" customHeight="1">
      <c r="A7" s="1" t="s">
        <v>118</v>
      </c>
      <c r="B7" s="1" t="s">
        <v>119</v>
      </c>
      <c r="C7" s="1">
        <v>0</v>
      </c>
      <c r="D7" s="3">
        <v>46283.489583333336</v>
      </c>
      <c r="E7" s="5">
        <v>15</v>
      </c>
      <c r="F7" s="1" t="s">
        <v>109</v>
      </c>
      <c r="G7">
        <f>INDEX(LegacyAvailability!$B$2:$B$25,MATCH(A7,LegacyAvailability!$A$2:$A$25,0))</f>
        <v>1</v>
      </c>
      <c r="H7">
        <f t="shared" si="0"/>
        <v>1</v>
      </c>
    </row>
    <row r="8" spans="1:8" ht="27" customHeight="1">
      <c r="A8" s="1" t="s">
        <v>120</v>
      </c>
      <c r="B8" s="1" t="s">
        <v>121</v>
      </c>
      <c r="C8" s="1">
        <v>0</v>
      </c>
      <c r="D8" s="3">
        <v>46283.489583333336</v>
      </c>
      <c r="E8" s="5">
        <v>16</v>
      </c>
      <c r="F8" s="1" t="s">
        <v>109</v>
      </c>
      <c r="G8">
        <f>INDEX(LegacyAvailability!$B$2:$B$25,MATCH(A8,LegacyAvailability!$A$2:$A$25,0))</f>
        <v>1</v>
      </c>
      <c r="H8">
        <f t="shared" si="0"/>
        <v>1</v>
      </c>
    </row>
    <row r="9" spans="1:8" ht="27" customHeight="1">
      <c r="A9" s="1" t="s">
        <v>122</v>
      </c>
      <c r="B9" s="1" t="s">
        <v>123</v>
      </c>
      <c r="C9" s="1">
        <v>0</v>
      </c>
      <c r="D9" s="3">
        <v>46283.489583333336</v>
      </c>
      <c r="E9" s="5">
        <v>17</v>
      </c>
      <c r="F9" s="1" t="s">
        <v>109</v>
      </c>
      <c r="G9">
        <f>INDEX(LegacyAvailability!$B$2:$B$25,MATCH(A9,LegacyAvailability!$A$2:$A$25,0))</f>
        <v>1</v>
      </c>
      <c r="H9">
        <f t="shared" si="0"/>
        <v>1</v>
      </c>
    </row>
    <row r="10" spans="1:8" ht="27" customHeight="1">
      <c r="A10" s="1" t="s">
        <v>124</v>
      </c>
      <c r="B10" s="1" t="s">
        <v>125</v>
      </c>
      <c r="C10" s="1">
        <v>0</v>
      </c>
      <c r="D10" s="3">
        <v>46283.489583333336</v>
      </c>
      <c r="E10" s="5">
        <v>18</v>
      </c>
      <c r="F10" s="1" t="s">
        <v>109</v>
      </c>
      <c r="G10">
        <f>INDEX(LegacyAvailability!$B$2:$B$25,MATCH(A10,LegacyAvailability!$A$2:$A$25,0))</f>
        <v>1</v>
      </c>
      <c r="H10">
        <f t="shared" si="0"/>
        <v>1</v>
      </c>
    </row>
    <row r="11" spans="1:8" ht="27" customHeight="1">
      <c r="A11" s="1" t="s">
        <v>126</v>
      </c>
      <c r="B11" s="1" t="s">
        <v>127</v>
      </c>
      <c r="C11" s="1">
        <v>0</v>
      </c>
      <c r="D11" s="3">
        <v>46283.489583333336</v>
      </c>
      <c r="E11" s="5">
        <v>14</v>
      </c>
      <c r="F11" s="1" t="s">
        <v>109</v>
      </c>
      <c r="G11">
        <f>INDEX(LegacyAvailability!$B$2:$B$25,MATCH(A11,LegacyAvailability!$A$2:$A$25,0))</f>
        <v>1</v>
      </c>
      <c r="H11">
        <f t="shared" si="0"/>
        <v>1</v>
      </c>
    </row>
    <row r="12" spans="1:8" ht="27" customHeight="1">
      <c r="A12" s="1" t="s">
        <v>128</v>
      </c>
      <c r="B12" s="1" t="s">
        <v>129</v>
      </c>
      <c r="C12" s="1">
        <v>1</v>
      </c>
      <c r="D12" s="3">
        <v>46283.489583333336</v>
      </c>
      <c r="E12" s="5">
        <v>15</v>
      </c>
      <c r="F12" s="1" t="s">
        <v>109</v>
      </c>
      <c r="G12">
        <f>INDEX(LegacyAvailability!$B$2:$B$25,MATCH(A12,LegacyAvailability!$A$2:$A$25,0))</f>
        <v>1</v>
      </c>
      <c r="H12">
        <f t="shared" si="0"/>
        <v>0</v>
      </c>
    </row>
    <row r="13" spans="1:8" ht="27" customHeight="1">
      <c r="A13" s="1" t="s">
        <v>130</v>
      </c>
      <c r="B13" s="1" t="s">
        <v>131</v>
      </c>
      <c r="C13" s="1">
        <v>1</v>
      </c>
      <c r="D13" s="3">
        <v>46283.489583333336</v>
      </c>
      <c r="E13" s="5">
        <v>16</v>
      </c>
      <c r="F13" s="1" t="s">
        <v>109</v>
      </c>
      <c r="G13">
        <f>INDEX(LegacyAvailability!$B$2:$B$25,MATCH(A13,LegacyAvailability!$A$2:$A$25,0))</f>
        <v>1</v>
      </c>
      <c r="H13">
        <f t="shared" si="0"/>
        <v>0</v>
      </c>
    </row>
    <row r="14" spans="1:8" ht="27" customHeight="1">
      <c r="A14" s="1" t="s">
        <v>132</v>
      </c>
      <c r="B14" s="1" t="s">
        <v>133</v>
      </c>
      <c r="C14" s="1">
        <v>1</v>
      </c>
      <c r="D14" s="3">
        <v>46283.489583333336</v>
      </c>
      <c r="E14" s="5">
        <v>17</v>
      </c>
      <c r="F14" s="1" t="s">
        <v>109</v>
      </c>
      <c r="G14">
        <f>INDEX(LegacyAvailability!$B$2:$B$25,MATCH(A14,LegacyAvailability!$A$2:$A$25,0))</f>
        <v>1</v>
      </c>
      <c r="H14">
        <f t="shared" si="0"/>
        <v>0</v>
      </c>
    </row>
    <row r="15" spans="1:8" ht="27" customHeight="1">
      <c r="A15" s="1" t="s">
        <v>134</v>
      </c>
      <c r="B15" s="1" t="s">
        <v>135</v>
      </c>
      <c r="C15" s="1">
        <v>1</v>
      </c>
      <c r="D15" s="3">
        <v>46283.489583333336</v>
      </c>
      <c r="E15" s="5">
        <v>18</v>
      </c>
      <c r="F15" s="1" t="s">
        <v>109</v>
      </c>
      <c r="G15">
        <f>INDEX(LegacyAvailability!$B$2:$B$25,MATCH(A15,LegacyAvailability!$A$2:$A$25,0))</f>
        <v>1</v>
      </c>
      <c r="H15">
        <f t="shared" si="0"/>
        <v>0</v>
      </c>
    </row>
    <row r="16" spans="1:8" ht="27" customHeight="1">
      <c r="A16" s="1" t="s">
        <v>136</v>
      </c>
      <c r="B16" s="1" t="s">
        <v>137</v>
      </c>
      <c r="C16" s="1">
        <v>1</v>
      </c>
      <c r="D16" s="3">
        <v>46283.489583333336</v>
      </c>
      <c r="E16" s="5">
        <v>14</v>
      </c>
      <c r="F16" s="1" t="s">
        <v>109</v>
      </c>
      <c r="G16">
        <f>INDEX(LegacyAvailability!$B$2:$B$25,MATCH(A16,LegacyAvailability!$A$2:$A$25,0))</f>
        <v>1</v>
      </c>
      <c r="H16">
        <f t="shared" si="0"/>
        <v>0</v>
      </c>
    </row>
    <row r="17" spans="1:8" ht="27" customHeight="1">
      <c r="A17" s="1" t="s">
        <v>138</v>
      </c>
      <c r="B17" s="1" t="s">
        <v>139</v>
      </c>
      <c r="C17" s="1">
        <v>1</v>
      </c>
      <c r="D17" s="3">
        <v>46283.489583333336</v>
      </c>
      <c r="E17" s="5">
        <v>15</v>
      </c>
      <c r="F17" s="1" t="s">
        <v>109</v>
      </c>
      <c r="G17">
        <f>INDEX(LegacyAvailability!$B$2:$B$25,MATCH(A17,LegacyAvailability!$A$2:$A$25,0))</f>
        <v>1</v>
      </c>
      <c r="H17">
        <f t="shared" si="0"/>
        <v>0</v>
      </c>
    </row>
    <row r="18" spans="1:8" ht="27" customHeight="1">
      <c r="A18" s="1" t="s">
        <v>140</v>
      </c>
      <c r="B18" s="1" t="s">
        <v>141</v>
      </c>
      <c r="C18" s="1">
        <v>1</v>
      </c>
      <c r="D18" s="3">
        <v>46283.489583333336</v>
      </c>
      <c r="E18" s="5">
        <v>16</v>
      </c>
      <c r="F18" s="1" t="s">
        <v>109</v>
      </c>
      <c r="G18">
        <f>INDEX(LegacyAvailability!$B$2:$B$25,MATCH(A18,LegacyAvailability!$A$2:$A$25,0))</f>
        <v>1</v>
      </c>
      <c r="H18">
        <f t="shared" si="0"/>
        <v>0</v>
      </c>
    </row>
    <row r="19" spans="1:8" ht="27" customHeight="1">
      <c r="A19" s="1" t="s">
        <v>142</v>
      </c>
      <c r="B19" s="1" t="s">
        <v>143</v>
      </c>
      <c r="C19" s="1">
        <v>1</v>
      </c>
      <c r="D19" s="3">
        <v>46283.489583333336</v>
      </c>
      <c r="E19" s="5">
        <v>17</v>
      </c>
      <c r="F19" s="1" t="s">
        <v>109</v>
      </c>
      <c r="G19">
        <f>INDEX(LegacyAvailability!$B$2:$B$25,MATCH(A19,LegacyAvailability!$A$2:$A$25,0))</f>
        <v>1</v>
      </c>
      <c r="H19">
        <f t="shared" si="0"/>
        <v>0</v>
      </c>
    </row>
    <row r="20" spans="1:8" ht="27" customHeight="1">
      <c r="A20" s="1" t="s">
        <v>144</v>
      </c>
      <c r="B20" s="1" t="s">
        <v>145</v>
      </c>
      <c r="C20" s="1">
        <v>1</v>
      </c>
      <c r="D20" s="3">
        <v>46283.489583333336</v>
      </c>
      <c r="E20" s="5">
        <v>18</v>
      </c>
      <c r="F20" s="1" t="s">
        <v>109</v>
      </c>
      <c r="G20">
        <f>INDEX(LegacyAvailability!$B$2:$B$25,MATCH(A20,LegacyAvailability!$A$2:$A$25,0))</f>
        <v>1</v>
      </c>
      <c r="H20">
        <f t="shared" si="0"/>
        <v>0</v>
      </c>
    </row>
    <row r="21" spans="1:8" ht="27" customHeight="1">
      <c r="A21" s="1" t="s">
        <v>146</v>
      </c>
      <c r="B21" s="1" t="s">
        <v>147</v>
      </c>
      <c r="C21" s="1">
        <v>1</v>
      </c>
      <c r="D21" s="3">
        <v>46283.489583333336</v>
      </c>
      <c r="E21" s="5">
        <v>14</v>
      </c>
      <c r="F21" s="1" t="s">
        <v>109</v>
      </c>
      <c r="G21">
        <f>INDEX(LegacyAvailability!$B$2:$B$25,MATCH(A21,LegacyAvailability!$A$2:$A$25,0))</f>
        <v>1</v>
      </c>
      <c r="H21">
        <f t="shared" si="0"/>
        <v>0</v>
      </c>
    </row>
    <row r="22" spans="1:8" ht="27" customHeight="1">
      <c r="A22" s="1" t="s">
        <v>148</v>
      </c>
      <c r="B22" s="1" t="s">
        <v>149</v>
      </c>
      <c r="C22" s="1">
        <v>1</v>
      </c>
      <c r="D22" s="3">
        <v>46283.489583333336</v>
      </c>
      <c r="E22" s="5">
        <v>15</v>
      </c>
      <c r="F22" s="1" t="s">
        <v>109</v>
      </c>
      <c r="G22">
        <f>INDEX(LegacyAvailability!$B$2:$B$25,MATCH(A22,LegacyAvailability!$A$2:$A$25,0))</f>
        <v>1</v>
      </c>
      <c r="H22">
        <f t="shared" si="0"/>
        <v>0</v>
      </c>
    </row>
    <row r="23" spans="1:8" ht="27" customHeight="1">
      <c r="A23" s="1" t="s">
        <v>150</v>
      </c>
      <c r="B23" s="1" t="s">
        <v>151</v>
      </c>
      <c r="C23" s="1">
        <v>1</v>
      </c>
      <c r="D23" s="3">
        <v>46283.489583333336</v>
      </c>
      <c r="E23" s="5">
        <v>16</v>
      </c>
      <c r="F23" s="1" t="s">
        <v>109</v>
      </c>
      <c r="G23">
        <f>INDEX(LegacyAvailability!$B$2:$B$25,MATCH(A23,LegacyAvailability!$A$2:$A$25,0))</f>
        <v>1</v>
      </c>
      <c r="H23">
        <f t="shared" si="0"/>
        <v>0</v>
      </c>
    </row>
    <row r="24" spans="1:8" ht="27" customHeight="1">
      <c r="A24" s="1" t="s">
        <v>152</v>
      </c>
      <c r="B24" s="1" t="s">
        <v>153</v>
      </c>
      <c r="C24" s="1">
        <v>1</v>
      </c>
      <c r="D24" s="3">
        <v>46283.489583333336</v>
      </c>
      <c r="E24" s="5">
        <v>17</v>
      </c>
      <c r="F24" s="1" t="s">
        <v>109</v>
      </c>
      <c r="G24">
        <f>INDEX(LegacyAvailability!$B$2:$B$25,MATCH(A24,LegacyAvailability!$A$2:$A$25,0))</f>
        <v>1</v>
      </c>
      <c r="H24">
        <f t="shared" si="0"/>
        <v>0</v>
      </c>
    </row>
    <row r="25" spans="1:8" ht="27" customHeight="1">
      <c r="A25" s="1" t="s">
        <v>154</v>
      </c>
      <c r="B25" s="1" t="s">
        <v>155</v>
      </c>
      <c r="C25" s="1">
        <v>1</v>
      </c>
      <c r="D25" s="3">
        <v>46283.489583333336</v>
      </c>
      <c r="E25" s="5">
        <v>18</v>
      </c>
      <c r="F25" s="1" t="s">
        <v>109</v>
      </c>
      <c r="G25">
        <f>INDEX(LegacyAvailability!$B$2:$B$25,MATCH(A25,LegacyAvailability!$A$2:$A$25,0))</f>
        <v>1</v>
      </c>
      <c r="H25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20" customWidth="1"/>
    <col min="3" max="3" width="25" customWidth="1"/>
    <col min="4" max="4" width="20" customWidth="1"/>
    <col min="5" max="5" width="25" customWidth="1"/>
    <col min="6" max="7" width="20" customWidth="1"/>
  </cols>
  <sheetData>
    <row r="1" spans="1:7" ht="36" customHeight="1">
      <c r="A1" s="2" t="s">
        <v>156</v>
      </c>
      <c r="B1" s="2" t="s">
        <v>46</v>
      </c>
      <c r="C1" s="2" t="s">
        <v>157</v>
      </c>
      <c r="D1" s="2" t="s">
        <v>158</v>
      </c>
      <c r="E1" s="2" t="s">
        <v>159</v>
      </c>
      <c r="F1" s="2" t="s">
        <v>160</v>
      </c>
      <c r="G1" s="2" t="s">
        <v>161</v>
      </c>
    </row>
    <row r="2" spans="1:7" ht="27" customHeight="1">
      <c r="A2" s="1" t="s">
        <v>35</v>
      </c>
      <c r="B2" s="1" t="s">
        <v>49</v>
      </c>
      <c r="C2" s="3">
        <v>46283.5</v>
      </c>
      <c r="D2" s="1" t="s">
        <v>162</v>
      </c>
      <c r="E2" s="3">
        <v>46283.510416666664</v>
      </c>
      <c r="F2" s="1" t="s">
        <v>163</v>
      </c>
      <c r="G2" s="1" t="s">
        <v>164</v>
      </c>
    </row>
    <row r="3" spans="1:7" ht="27" customHeight="1">
      <c r="A3" s="1" t="s">
        <v>165</v>
      </c>
      <c r="B3" s="1" t="s">
        <v>52</v>
      </c>
      <c r="C3" s="3">
        <v>46283.501388888886</v>
      </c>
      <c r="D3" s="1" t="s">
        <v>166</v>
      </c>
      <c r="E3" s="3">
        <v>46283.511805555558</v>
      </c>
      <c r="F3" s="1" t="s">
        <v>163</v>
      </c>
      <c r="G3" s="1" t="s">
        <v>164</v>
      </c>
    </row>
    <row r="4" spans="1:7" ht="27" customHeight="1">
      <c r="A4" s="1" t="s">
        <v>167</v>
      </c>
      <c r="B4" s="1" t="s">
        <v>55</v>
      </c>
      <c r="C4" s="3">
        <v>46283.50277777778</v>
      </c>
      <c r="D4" s="1" t="s">
        <v>168</v>
      </c>
      <c r="E4" s="3">
        <v>46283.513194444444</v>
      </c>
      <c r="F4" s="1" t="s">
        <v>163</v>
      </c>
      <c r="G4" s="1" t="s">
        <v>164</v>
      </c>
    </row>
    <row r="5" spans="1:7" ht="27" customHeight="1">
      <c r="A5" s="1" t="s">
        <v>169</v>
      </c>
      <c r="B5" s="1" t="s">
        <v>57</v>
      </c>
      <c r="C5" s="3">
        <v>46283.504166666666</v>
      </c>
      <c r="D5" s="1" t="s">
        <v>162</v>
      </c>
      <c r="E5" s="3">
        <v>46283.51458333333</v>
      </c>
      <c r="F5" s="1" t="s">
        <v>163</v>
      </c>
      <c r="G5" s="1" t="s">
        <v>164</v>
      </c>
    </row>
    <row r="6" spans="1:7" ht="27" customHeight="1">
      <c r="A6" s="1" t="s">
        <v>170</v>
      </c>
      <c r="B6" s="1" t="s">
        <v>59</v>
      </c>
      <c r="C6" s="3">
        <v>46283.505555555559</v>
      </c>
      <c r="D6" s="1" t="s">
        <v>166</v>
      </c>
      <c r="E6" s="3">
        <v>46283.515972222223</v>
      </c>
      <c r="F6" s="1" t="s">
        <v>163</v>
      </c>
      <c r="G6" s="1" t="s">
        <v>164</v>
      </c>
    </row>
    <row r="7" spans="1:7" ht="27" customHeight="1">
      <c r="A7" s="1" t="s">
        <v>171</v>
      </c>
      <c r="B7" s="1" t="s">
        <v>61</v>
      </c>
      <c r="C7" s="3">
        <v>46283.506944444445</v>
      </c>
      <c r="D7" s="1" t="s">
        <v>168</v>
      </c>
      <c r="E7" s="3">
        <v>46283.517361111109</v>
      </c>
      <c r="F7" s="1" t="s">
        <v>163</v>
      </c>
      <c r="G7" s="1" t="s">
        <v>164</v>
      </c>
    </row>
    <row r="8" spans="1:7" ht="27" customHeight="1">
      <c r="A8" s="1" t="s">
        <v>172</v>
      </c>
      <c r="B8" s="1" t="s">
        <v>63</v>
      </c>
      <c r="C8" s="3">
        <v>46283.508333333331</v>
      </c>
      <c r="D8" s="1" t="s">
        <v>162</v>
      </c>
      <c r="E8" s="3">
        <v>46283.518750000003</v>
      </c>
      <c r="F8" s="1" t="s">
        <v>163</v>
      </c>
      <c r="G8" s="1" t="s">
        <v>164</v>
      </c>
    </row>
    <row r="9" spans="1:7" ht="27" customHeight="1">
      <c r="A9" s="1" t="s">
        <v>173</v>
      </c>
      <c r="B9" s="1" t="s">
        <v>65</v>
      </c>
      <c r="C9" s="3">
        <v>46283.509722222225</v>
      </c>
      <c r="D9" s="1" t="s">
        <v>166</v>
      </c>
      <c r="E9" s="3">
        <v>46283.520138888889</v>
      </c>
      <c r="F9" s="1" t="s">
        <v>163</v>
      </c>
      <c r="G9" s="1" t="s">
        <v>164</v>
      </c>
    </row>
    <row r="10" spans="1:7" ht="27" customHeight="1">
      <c r="A10" s="1" t="s">
        <v>174</v>
      </c>
      <c r="B10" s="1" t="s">
        <v>67</v>
      </c>
      <c r="C10" s="3">
        <v>46283.511111111111</v>
      </c>
      <c r="D10" s="1" t="s">
        <v>168</v>
      </c>
      <c r="E10" s="3">
        <v>46283.521527777775</v>
      </c>
      <c r="F10" s="1" t="s">
        <v>163</v>
      </c>
      <c r="G10" s="1" t="s">
        <v>164</v>
      </c>
    </row>
    <row r="11" spans="1:7" ht="27" customHeight="1">
      <c r="A11" s="1" t="s">
        <v>175</v>
      </c>
      <c r="B11" s="1" t="s">
        <v>69</v>
      </c>
      <c r="C11" s="3">
        <v>46283.512499999997</v>
      </c>
      <c r="D11" s="1" t="s">
        <v>162</v>
      </c>
      <c r="E11" s="3">
        <v>46283.522916666669</v>
      </c>
      <c r="F11" s="1" t="s">
        <v>163</v>
      </c>
      <c r="G11" s="1" t="s">
        <v>164</v>
      </c>
    </row>
    <row r="12" spans="1:7" ht="27" customHeight="1">
      <c r="A12" s="1" t="s">
        <v>176</v>
      </c>
      <c r="B12" s="1" t="s">
        <v>71</v>
      </c>
      <c r="C12" s="3">
        <v>46283.513888888891</v>
      </c>
      <c r="D12" s="1" t="s">
        <v>166</v>
      </c>
      <c r="E12" s="3">
        <v>46283.524305555555</v>
      </c>
      <c r="F12" s="1" t="s">
        <v>163</v>
      </c>
      <c r="G12" s="1" t="s">
        <v>164</v>
      </c>
    </row>
    <row r="13" spans="1:7" ht="27" customHeight="1">
      <c r="A13" s="1" t="s">
        <v>177</v>
      </c>
      <c r="B13" s="1" t="s">
        <v>73</v>
      </c>
      <c r="C13" s="3">
        <v>46283.515277777777</v>
      </c>
      <c r="D13" s="1" t="s">
        <v>168</v>
      </c>
      <c r="E13" s="3">
        <v>46283.525694444441</v>
      </c>
      <c r="F13" s="1" t="s">
        <v>163</v>
      </c>
      <c r="G13" s="1" t="s">
        <v>164</v>
      </c>
    </row>
    <row r="14" spans="1:7" ht="27" customHeight="1">
      <c r="A14" s="1" t="s">
        <v>178</v>
      </c>
      <c r="B14" s="1" t="s">
        <v>75</v>
      </c>
      <c r="C14" s="3">
        <v>46283.51666666667</v>
      </c>
      <c r="D14" s="1" t="s">
        <v>162</v>
      </c>
      <c r="E14" s="3">
        <v>46283.527083333334</v>
      </c>
      <c r="F14" s="1" t="s">
        <v>163</v>
      </c>
      <c r="G14" s="1" t="s">
        <v>164</v>
      </c>
    </row>
    <row r="15" spans="1:7" ht="27" customHeight="1">
      <c r="A15" s="1" t="s">
        <v>179</v>
      </c>
      <c r="B15" s="1" t="s">
        <v>77</v>
      </c>
      <c r="C15" s="3">
        <v>46283.518055555556</v>
      </c>
      <c r="D15" s="1" t="s">
        <v>166</v>
      </c>
      <c r="E15" s="3">
        <v>46283.52847222222</v>
      </c>
      <c r="F15" s="1" t="s">
        <v>163</v>
      </c>
      <c r="G15" s="1" t="s">
        <v>164</v>
      </c>
    </row>
    <row r="16" spans="1:7" ht="27" customHeight="1">
      <c r="A16" s="1" t="s">
        <v>180</v>
      </c>
      <c r="B16" s="1" t="s">
        <v>79</v>
      </c>
      <c r="C16" s="3">
        <v>46283.519444444442</v>
      </c>
      <c r="D16" s="1" t="s">
        <v>168</v>
      </c>
      <c r="E16" s="3">
        <v>46283.529861111114</v>
      </c>
      <c r="F16" s="1" t="s">
        <v>163</v>
      </c>
      <c r="G16" s="1" t="s">
        <v>164</v>
      </c>
    </row>
    <row r="17" spans="1:7" ht="27" customHeight="1">
      <c r="A17" s="1" t="s">
        <v>181</v>
      </c>
      <c r="B17" s="1" t="s">
        <v>81</v>
      </c>
      <c r="C17" s="3">
        <v>46283.520833333336</v>
      </c>
      <c r="D17" s="1" t="s">
        <v>162</v>
      </c>
      <c r="E17" s="3">
        <v>46283.53125</v>
      </c>
      <c r="F17" s="1" t="s">
        <v>163</v>
      </c>
      <c r="G17" s="1" t="s">
        <v>164</v>
      </c>
    </row>
    <row r="18" spans="1:7" ht="27" customHeight="1">
      <c r="A18" s="1" t="s">
        <v>182</v>
      </c>
      <c r="B18" s="1" t="s">
        <v>83</v>
      </c>
      <c r="C18" s="3">
        <v>46283.522222222222</v>
      </c>
      <c r="D18" s="1" t="s">
        <v>166</v>
      </c>
      <c r="E18" s="3">
        <v>46283.532638888886</v>
      </c>
      <c r="F18" s="1" t="s">
        <v>163</v>
      </c>
      <c r="G18" s="1" t="s">
        <v>164</v>
      </c>
    </row>
    <row r="19" spans="1:7" ht="27" customHeight="1">
      <c r="A19" s="1" t="s">
        <v>183</v>
      </c>
      <c r="B19" s="1" t="s">
        <v>85</v>
      </c>
      <c r="C19" s="3">
        <v>46283.523611111108</v>
      </c>
      <c r="D19" s="1" t="s">
        <v>168</v>
      </c>
      <c r="E19" s="3">
        <v>46283.53402777778</v>
      </c>
      <c r="F19" s="1" t="s">
        <v>163</v>
      </c>
      <c r="G19" s="1" t="s">
        <v>164</v>
      </c>
    </row>
    <row r="20" spans="1:7" ht="27" customHeight="1">
      <c r="A20" s="1" t="s">
        <v>184</v>
      </c>
      <c r="B20" s="1" t="s">
        <v>87</v>
      </c>
      <c r="C20" s="3">
        <v>46283.525000000001</v>
      </c>
      <c r="D20" s="1" t="s">
        <v>162</v>
      </c>
      <c r="E20" s="3">
        <v>46283.535416666666</v>
      </c>
      <c r="F20" s="1" t="s">
        <v>163</v>
      </c>
      <c r="G20" s="1" t="s">
        <v>164</v>
      </c>
    </row>
    <row r="21" spans="1:7" ht="27" customHeight="1">
      <c r="A21" s="1" t="s">
        <v>185</v>
      </c>
      <c r="B21" s="1" t="s">
        <v>89</v>
      </c>
      <c r="C21" s="3">
        <v>46283.526388888888</v>
      </c>
      <c r="D21" s="1" t="s">
        <v>166</v>
      </c>
      <c r="E21" s="3">
        <v>46283.536805555559</v>
      </c>
      <c r="F21" s="1" t="s">
        <v>163</v>
      </c>
      <c r="G21" s="1" t="s">
        <v>164</v>
      </c>
    </row>
    <row r="22" spans="1:7" ht="27" customHeight="1">
      <c r="A22" s="1" t="s">
        <v>186</v>
      </c>
      <c r="B22" s="1" t="s">
        <v>91</v>
      </c>
      <c r="C22" s="3">
        <v>46283.527777777781</v>
      </c>
      <c r="D22" s="1" t="s">
        <v>168</v>
      </c>
      <c r="E22" s="3">
        <v>46283.538194444445</v>
      </c>
      <c r="F22" s="1" t="s">
        <v>163</v>
      </c>
      <c r="G22" s="1" t="s">
        <v>164</v>
      </c>
    </row>
    <row r="23" spans="1:7" ht="27" customHeight="1">
      <c r="A23" s="1" t="s">
        <v>187</v>
      </c>
      <c r="B23" s="1" t="s">
        <v>93</v>
      </c>
      <c r="C23" s="3">
        <v>46283.529166666667</v>
      </c>
      <c r="D23" s="1" t="s">
        <v>162</v>
      </c>
      <c r="E23" s="3">
        <v>46283.539583333331</v>
      </c>
      <c r="F23" s="1" t="s">
        <v>163</v>
      </c>
      <c r="G23" s="1" t="s">
        <v>164</v>
      </c>
    </row>
    <row r="24" spans="1:7" ht="27" customHeight="1">
      <c r="A24" s="1" t="s">
        <v>188</v>
      </c>
      <c r="B24" s="1" t="s">
        <v>95</v>
      </c>
      <c r="C24" s="3">
        <v>46283.530555555553</v>
      </c>
      <c r="D24" s="1" t="s">
        <v>166</v>
      </c>
      <c r="E24" s="3">
        <v>46283.540972222225</v>
      </c>
      <c r="F24" s="1" t="s">
        <v>163</v>
      </c>
      <c r="G24" s="1" t="s">
        <v>164</v>
      </c>
    </row>
    <row r="25" spans="1:7" ht="27" customHeight="1">
      <c r="A25" s="1" t="s">
        <v>189</v>
      </c>
      <c r="B25" s="1" t="s">
        <v>97</v>
      </c>
      <c r="C25" s="3">
        <v>46283.531944444447</v>
      </c>
      <c r="D25" s="1" t="s">
        <v>168</v>
      </c>
      <c r="E25" s="3">
        <v>46283.542361111111</v>
      </c>
      <c r="F25" s="1" t="s">
        <v>163</v>
      </c>
      <c r="G25" s="1" t="s">
        <v>164</v>
      </c>
    </row>
    <row r="26" spans="1:7" ht="27" customHeight="1">
      <c r="A26" s="1" t="s">
        <v>190</v>
      </c>
      <c r="B26" s="1" t="s">
        <v>49</v>
      </c>
      <c r="C26" s="3">
        <v>46283.533333333333</v>
      </c>
      <c r="D26" s="1" t="s">
        <v>162</v>
      </c>
      <c r="E26" s="3">
        <v>46283.543749999997</v>
      </c>
      <c r="F26" s="1" t="s">
        <v>163</v>
      </c>
      <c r="G26" s="1" t="s">
        <v>164</v>
      </c>
    </row>
    <row r="27" spans="1:7" ht="27" customHeight="1">
      <c r="A27" s="1" t="s">
        <v>191</v>
      </c>
      <c r="B27" s="1" t="s">
        <v>52</v>
      </c>
      <c r="C27" s="3">
        <v>46283.534722222219</v>
      </c>
      <c r="D27" s="1" t="s">
        <v>166</v>
      </c>
      <c r="E27" s="3">
        <v>46283.545138888891</v>
      </c>
      <c r="F27" s="1" t="s">
        <v>163</v>
      </c>
      <c r="G27" s="1" t="s">
        <v>164</v>
      </c>
    </row>
    <row r="28" spans="1:7" ht="27" customHeight="1">
      <c r="A28" s="1" t="s">
        <v>192</v>
      </c>
      <c r="B28" s="1" t="s">
        <v>55</v>
      </c>
      <c r="C28" s="3">
        <v>46283.536111111112</v>
      </c>
      <c r="D28" s="1" t="s">
        <v>168</v>
      </c>
      <c r="E28" s="3">
        <v>46283.546527777777</v>
      </c>
      <c r="F28" s="1" t="s">
        <v>163</v>
      </c>
      <c r="G28" s="1" t="s">
        <v>164</v>
      </c>
    </row>
    <row r="29" spans="1:7" ht="27" customHeight="1">
      <c r="A29" s="1" t="s">
        <v>193</v>
      </c>
      <c r="B29" s="1" t="s">
        <v>57</v>
      </c>
      <c r="C29" s="3">
        <v>46283.537499999999</v>
      </c>
      <c r="D29" s="1" t="s">
        <v>162</v>
      </c>
      <c r="E29" s="3">
        <v>46283.54791666667</v>
      </c>
      <c r="F29" s="1" t="s">
        <v>163</v>
      </c>
      <c r="G29" s="1" t="s">
        <v>164</v>
      </c>
    </row>
    <row r="30" spans="1:7" ht="27" customHeight="1">
      <c r="A30" s="1" t="s">
        <v>194</v>
      </c>
      <c r="B30" s="1" t="s">
        <v>59</v>
      </c>
      <c r="C30" s="3">
        <v>46283.538888888892</v>
      </c>
      <c r="D30" s="1" t="s">
        <v>166</v>
      </c>
      <c r="E30" s="3">
        <v>46283.549305555556</v>
      </c>
      <c r="F30" s="1" t="s">
        <v>163</v>
      </c>
      <c r="G30" s="1" t="s">
        <v>164</v>
      </c>
    </row>
    <row r="31" spans="1:7" ht="27" customHeight="1">
      <c r="A31" s="1" t="s">
        <v>195</v>
      </c>
      <c r="B31" s="1" t="s">
        <v>61</v>
      </c>
      <c r="C31" s="3">
        <v>46283.540277777778</v>
      </c>
      <c r="D31" s="1" t="s">
        <v>168</v>
      </c>
      <c r="E31" s="3">
        <v>46283.550694444442</v>
      </c>
      <c r="F31" s="1" t="s">
        <v>163</v>
      </c>
      <c r="G31" s="1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6" width="20" customWidth="1"/>
  </cols>
  <sheetData>
    <row r="1" spans="1:6" ht="36" customHeight="1">
      <c r="A1" s="2" t="s">
        <v>196</v>
      </c>
      <c r="B1" s="2" t="s">
        <v>156</v>
      </c>
      <c r="C1" s="2" t="s">
        <v>99</v>
      </c>
      <c r="D1" s="2" t="s">
        <v>197</v>
      </c>
      <c r="E1" s="2" t="s">
        <v>103</v>
      </c>
      <c r="F1" s="2" t="s">
        <v>198</v>
      </c>
    </row>
    <row r="2" spans="1:6" ht="27" customHeight="1">
      <c r="A2" s="1" t="s">
        <v>199</v>
      </c>
      <c r="B2" s="1" t="s">
        <v>35</v>
      </c>
      <c r="C2" s="1" t="s">
        <v>107</v>
      </c>
      <c r="D2" s="1">
        <v>1</v>
      </c>
      <c r="E2" s="5">
        <v>15</v>
      </c>
      <c r="F2" s="5">
        <f t="shared" ref="F2:F41" si="0">D2*E2</f>
        <v>15</v>
      </c>
    </row>
    <row r="3" spans="1:6" ht="27" customHeight="1">
      <c r="A3" s="1" t="s">
        <v>200</v>
      </c>
      <c r="B3" s="1" t="s">
        <v>165</v>
      </c>
      <c r="C3" s="1" t="s">
        <v>110</v>
      </c>
      <c r="D3" s="1">
        <v>1</v>
      </c>
      <c r="E3" s="5">
        <v>16</v>
      </c>
      <c r="F3" s="5">
        <f t="shared" si="0"/>
        <v>16</v>
      </c>
    </row>
    <row r="4" spans="1:6" ht="27" customHeight="1">
      <c r="A4" s="1" t="s">
        <v>201</v>
      </c>
      <c r="B4" s="1" t="s">
        <v>167</v>
      </c>
      <c r="C4" s="1" t="s">
        <v>112</v>
      </c>
      <c r="D4" s="1">
        <v>1</v>
      </c>
      <c r="E4" s="5">
        <v>17</v>
      </c>
      <c r="F4" s="5">
        <f t="shared" si="0"/>
        <v>17</v>
      </c>
    </row>
    <row r="5" spans="1:6" ht="27" customHeight="1">
      <c r="A5" s="1" t="s">
        <v>202</v>
      </c>
      <c r="B5" s="1" t="s">
        <v>169</v>
      </c>
      <c r="C5" s="1" t="s">
        <v>114</v>
      </c>
      <c r="D5" s="1">
        <v>1</v>
      </c>
      <c r="E5" s="5">
        <v>18</v>
      </c>
      <c r="F5" s="5">
        <f t="shared" si="0"/>
        <v>18</v>
      </c>
    </row>
    <row r="6" spans="1:6" ht="27" customHeight="1">
      <c r="A6" s="1" t="s">
        <v>203</v>
      </c>
      <c r="B6" s="1" t="s">
        <v>170</v>
      </c>
      <c r="C6" s="1" t="s">
        <v>116</v>
      </c>
      <c r="D6" s="1">
        <v>1</v>
      </c>
      <c r="E6" s="5">
        <v>14</v>
      </c>
      <c r="F6" s="5">
        <f t="shared" si="0"/>
        <v>14</v>
      </c>
    </row>
    <row r="7" spans="1:6" ht="27" customHeight="1">
      <c r="A7" s="1" t="s">
        <v>204</v>
      </c>
      <c r="B7" s="1" t="s">
        <v>171</v>
      </c>
      <c r="C7" s="1" t="s">
        <v>118</v>
      </c>
      <c r="D7" s="1">
        <v>1</v>
      </c>
      <c r="E7" s="5">
        <v>15</v>
      </c>
      <c r="F7" s="5">
        <f t="shared" si="0"/>
        <v>15</v>
      </c>
    </row>
    <row r="8" spans="1:6" ht="27" customHeight="1">
      <c r="A8" s="1" t="s">
        <v>205</v>
      </c>
      <c r="B8" s="1" t="s">
        <v>172</v>
      </c>
      <c r="C8" s="1" t="s">
        <v>128</v>
      </c>
      <c r="D8" s="1">
        <v>1</v>
      </c>
      <c r="E8" s="5">
        <v>15</v>
      </c>
      <c r="F8" s="5">
        <f t="shared" si="0"/>
        <v>15</v>
      </c>
    </row>
    <row r="9" spans="1:6" ht="27" customHeight="1">
      <c r="A9" s="1" t="s">
        <v>206</v>
      </c>
      <c r="B9" s="1" t="s">
        <v>173</v>
      </c>
      <c r="C9" s="1" t="s">
        <v>130</v>
      </c>
      <c r="D9" s="1">
        <v>1</v>
      </c>
      <c r="E9" s="5">
        <v>16</v>
      </c>
      <c r="F9" s="5">
        <f t="shared" si="0"/>
        <v>16</v>
      </c>
    </row>
    <row r="10" spans="1:6" ht="27" customHeight="1">
      <c r="A10" s="1" t="s">
        <v>207</v>
      </c>
      <c r="B10" s="1" t="s">
        <v>174</v>
      </c>
      <c r="C10" s="1" t="s">
        <v>132</v>
      </c>
      <c r="D10" s="1">
        <v>1</v>
      </c>
      <c r="E10" s="5">
        <v>17</v>
      </c>
      <c r="F10" s="5">
        <f t="shared" si="0"/>
        <v>17</v>
      </c>
    </row>
    <row r="11" spans="1:6" ht="27" customHeight="1">
      <c r="A11" s="1" t="s">
        <v>208</v>
      </c>
      <c r="B11" s="1" t="s">
        <v>175</v>
      </c>
      <c r="C11" s="1" t="s">
        <v>134</v>
      </c>
      <c r="D11" s="1">
        <v>1</v>
      </c>
      <c r="E11" s="5">
        <v>18</v>
      </c>
      <c r="F11" s="5">
        <f t="shared" si="0"/>
        <v>18</v>
      </c>
    </row>
    <row r="12" spans="1:6" ht="27" customHeight="1">
      <c r="A12" s="1" t="s">
        <v>209</v>
      </c>
      <c r="B12" s="1" t="s">
        <v>176</v>
      </c>
      <c r="C12" s="1" t="s">
        <v>136</v>
      </c>
      <c r="D12" s="1">
        <v>1</v>
      </c>
      <c r="E12" s="5">
        <v>14</v>
      </c>
      <c r="F12" s="5">
        <f t="shared" si="0"/>
        <v>14</v>
      </c>
    </row>
    <row r="13" spans="1:6" ht="27" customHeight="1">
      <c r="A13" s="1" t="s">
        <v>210</v>
      </c>
      <c r="B13" s="1" t="s">
        <v>177</v>
      </c>
      <c r="C13" s="1" t="s">
        <v>138</v>
      </c>
      <c r="D13" s="1">
        <v>1</v>
      </c>
      <c r="E13" s="5">
        <v>15</v>
      </c>
      <c r="F13" s="5">
        <f t="shared" si="0"/>
        <v>15</v>
      </c>
    </row>
    <row r="14" spans="1:6" ht="27" customHeight="1">
      <c r="A14" s="1" t="s">
        <v>211</v>
      </c>
      <c r="B14" s="1" t="s">
        <v>178</v>
      </c>
      <c r="C14" s="1" t="s">
        <v>140</v>
      </c>
      <c r="D14" s="1">
        <v>1</v>
      </c>
      <c r="E14" s="5">
        <v>16</v>
      </c>
      <c r="F14" s="5">
        <f t="shared" si="0"/>
        <v>16</v>
      </c>
    </row>
    <row r="15" spans="1:6" ht="27" customHeight="1">
      <c r="A15" s="1" t="s">
        <v>212</v>
      </c>
      <c r="B15" s="1" t="s">
        <v>179</v>
      </c>
      <c r="C15" s="1" t="s">
        <v>142</v>
      </c>
      <c r="D15" s="1">
        <v>1</v>
      </c>
      <c r="E15" s="5">
        <v>17</v>
      </c>
      <c r="F15" s="5">
        <f t="shared" si="0"/>
        <v>17</v>
      </c>
    </row>
    <row r="16" spans="1:6" ht="27" customHeight="1">
      <c r="A16" s="1" t="s">
        <v>213</v>
      </c>
      <c r="B16" s="1" t="s">
        <v>180</v>
      </c>
      <c r="C16" s="1" t="s">
        <v>144</v>
      </c>
      <c r="D16" s="1">
        <v>1</v>
      </c>
      <c r="E16" s="5">
        <v>18</v>
      </c>
      <c r="F16" s="5">
        <f t="shared" si="0"/>
        <v>18</v>
      </c>
    </row>
    <row r="17" spans="1:6" ht="27" customHeight="1">
      <c r="A17" s="1" t="s">
        <v>214</v>
      </c>
      <c r="B17" s="1" t="s">
        <v>181</v>
      </c>
      <c r="C17" s="1" t="s">
        <v>146</v>
      </c>
      <c r="D17" s="1">
        <v>1</v>
      </c>
      <c r="E17" s="5">
        <v>14</v>
      </c>
      <c r="F17" s="5">
        <f t="shared" si="0"/>
        <v>14</v>
      </c>
    </row>
    <row r="18" spans="1:6" ht="27" customHeight="1">
      <c r="A18" s="1" t="s">
        <v>215</v>
      </c>
      <c r="B18" s="1" t="s">
        <v>182</v>
      </c>
      <c r="C18" s="1" t="s">
        <v>148</v>
      </c>
      <c r="D18" s="1">
        <v>1</v>
      </c>
      <c r="E18" s="5">
        <v>15</v>
      </c>
      <c r="F18" s="5">
        <f t="shared" si="0"/>
        <v>15</v>
      </c>
    </row>
    <row r="19" spans="1:6" ht="27" customHeight="1">
      <c r="A19" s="1" t="s">
        <v>216</v>
      </c>
      <c r="B19" s="1" t="s">
        <v>183</v>
      </c>
      <c r="C19" s="1" t="s">
        <v>150</v>
      </c>
      <c r="D19" s="1">
        <v>1</v>
      </c>
      <c r="E19" s="5">
        <v>16</v>
      </c>
      <c r="F19" s="5">
        <f t="shared" si="0"/>
        <v>16</v>
      </c>
    </row>
    <row r="20" spans="1:6" ht="27" customHeight="1">
      <c r="A20" s="1" t="s">
        <v>217</v>
      </c>
      <c r="B20" s="1" t="s">
        <v>184</v>
      </c>
      <c r="C20" s="1" t="s">
        <v>152</v>
      </c>
      <c r="D20" s="1">
        <v>1</v>
      </c>
      <c r="E20" s="5">
        <v>17</v>
      </c>
      <c r="F20" s="5">
        <f t="shared" si="0"/>
        <v>17</v>
      </c>
    </row>
    <row r="21" spans="1:6" ht="27" customHeight="1">
      <c r="A21" s="1" t="s">
        <v>218</v>
      </c>
      <c r="B21" s="1" t="s">
        <v>185</v>
      </c>
      <c r="C21" s="1" t="s">
        <v>154</v>
      </c>
      <c r="D21" s="1">
        <v>1</v>
      </c>
      <c r="E21" s="5">
        <v>18</v>
      </c>
      <c r="F21" s="5">
        <f t="shared" si="0"/>
        <v>18</v>
      </c>
    </row>
    <row r="22" spans="1:6" ht="27" customHeight="1">
      <c r="A22" s="1" t="s">
        <v>219</v>
      </c>
      <c r="B22" s="1" t="s">
        <v>186</v>
      </c>
      <c r="C22" s="1" t="s">
        <v>128</v>
      </c>
      <c r="D22" s="1">
        <v>1</v>
      </c>
      <c r="E22" s="5">
        <v>15</v>
      </c>
      <c r="F22" s="5">
        <f t="shared" si="0"/>
        <v>15</v>
      </c>
    </row>
    <row r="23" spans="1:6" ht="27" customHeight="1">
      <c r="A23" s="1" t="s">
        <v>220</v>
      </c>
      <c r="B23" s="1" t="s">
        <v>186</v>
      </c>
      <c r="C23" s="1" t="s">
        <v>142</v>
      </c>
      <c r="D23" s="1">
        <v>1</v>
      </c>
      <c r="E23" s="5">
        <v>17</v>
      </c>
      <c r="F23" s="5">
        <f t="shared" si="0"/>
        <v>17</v>
      </c>
    </row>
    <row r="24" spans="1:6" ht="27" customHeight="1">
      <c r="A24" s="1" t="s">
        <v>221</v>
      </c>
      <c r="B24" s="1" t="s">
        <v>187</v>
      </c>
      <c r="C24" s="1" t="s">
        <v>130</v>
      </c>
      <c r="D24" s="1">
        <v>1</v>
      </c>
      <c r="E24" s="5">
        <v>16</v>
      </c>
      <c r="F24" s="5">
        <f t="shared" si="0"/>
        <v>16</v>
      </c>
    </row>
    <row r="25" spans="1:6" ht="27" customHeight="1">
      <c r="A25" s="1" t="s">
        <v>222</v>
      </c>
      <c r="B25" s="1" t="s">
        <v>187</v>
      </c>
      <c r="C25" s="1" t="s">
        <v>144</v>
      </c>
      <c r="D25" s="1">
        <v>1</v>
      </c>
      <c r="E25" s="5">
        <v>18</v>
      </c>
      <c r="F25" s="5">
        <f t="shared" si="0"/>
        <v>18</v>
      </c>
    </row>
    <row r="26" spans="1:6" ht="27" customHeight="1">
      <c r="A26" s="1" t="s">
        <v>223</v>
      </c>
      <c r="B26" s="1" t="s">
        <v>188</v>
      </c>
      <c r="C26" s="1" t="s">
        <v>132</v>
      </c>
      <c r="D26" s="1">
        <v>1</v>
      </c>
      <c r="E26" s="5">
        <v>17</v>
      </c>
      <c r="F26" s="5">
        <f t="shared" si="0"/>
        <v>17</v>
      </c>
    </row>
    <row r="27" spans="1:6" ht="27" customHeight="1">
      <c r="A27" s="1" t="s">
        <v>224</v>
      </c>
      <c r="B27" s="1" t="s">
        <v>188</v>
      </c>
      <c r="C27" s="1" t="s">
        <v>146</v>
      </c>
      <c r="D27" s="1">
        <v>1</v>
      </c>
      <c r="E27" s="5">
        <v>14</v>
      </c>
      <c r="F27" s="5">
        <f t="shared" si="0"/>
        <v>14</v>
      </c>
    </row>
    <row r="28" spans="1:6" ht="27" customHeight="1">
      <c r="A28" s="1" t="s">
        <v>225</v>
      </c>
      <c r="B28" s="1" t="s">
        <v>189</v>
      </c>
      <c r="C28" s="1" t="s">
        <v>134</v>
      </c>
      <c r="D28" s="1">
        <v>1</v>
      </c>
      <c r="E28" s="5">
        <v>18</v>
      </c>
      <c r="F28" s="5">
        <f t="shared" si="0"/>
        <v>18</v>
      </c>
    </row>
    <row r="29" spans="1:6" ht="27" customHeight="1">
      <c r="A29" s="1" t="s">
        <v>226</v>
      </c>
      <c r="B29" s="1" t="s">
        <v>189</v>
      </c>
      <c r="C29" s="1" t="s">
        <v>148</v>
      </c>
      <c r="D29" s="1">
        <v>1</v>
      </c>
      <c r="E29" s="5">
        <v>15</v>
      </c>
      <c r="F29" s="5">
        <f t="shared" si="0"/>
        <v>15</v>
      </c>
    </row>
    <row r="30" spans="1:6" ht="27" customHeight="1">
      <c r="A30" s="1" t="s">
        <v>227</v>
      </c>
      <c r="B30" s="1" t="s">
        <v>190</v>
      </c>
      <c r="C30" s="1" t="s">
        <v>136</v>
      </c>
      <c r="D30" s="1">
        <v>1</v>
      </c>
      <c r="E30" s="5">
        <v>14</v>
      </c>
      <c r="F30" s="5">
        <f t="shared" si="0"/>
        <v>14</v>
      </c>
    </row>
    <row r="31" spans="1:6" ht="27" customHeight="1">
      <c r="A31" s="1" t="s">
        <v>228</v>
      </c>
      <c r="B31" s="1" t="s">
        <v>190</v>
      </c>
      <c r="C31" s="1" t="s">
        <v>150</v>
      </c>
      <c r="D31" s="1">
        <v>1</v>
      </c>
      <c r="E31" s="5">
        <v>16</v>
      </c>
      <c r="F31" s="5">
        <f t="shared" si="0"/>
        <v>16</v>
      </c>
    </row>
    <row r="32" spans="1:6" ht="27" customHeight="1">
      <c r="A32" s="1" t="s">
        <v>229</v>
      </c>
      <c r="B32" s="1" t="s">
        <v>191</v>
      </c>
      <c r="C32" s="1" t="s">
        <v>138</v>
      </c>
      <c r="D32" s="1">
        <v>1</v>
      </c>
      <c r="E32" s="5">
        <v>15</v>
      </c>
      <c r="F32" s="5">
        <f t="shared" si="0"/>
        <v>15</v>
      </c>
    </row>
    <row r="33" spans="1:6" ht="27" customHeight="1">
      <c r="A33" s="1" t="s">
        <v>230</v>
      </c>
      <c r="B33" s="1" t="s">
        <v>191</v>
      </c>
      <c r="C33" s="1" t="s">
        <v>152</v>
      </c>
      <c r="D33" s="1">
        <v>1</v>
      </c>
      <c r="E33" s="5">
        <v>17</v>
      </c>
      <c r="F33" s="5">
        <f t="shared" si="0"/>
        <v>17</v>
      </c>
    </row>
    <row r="34" spans="1:6" ht="27" customHeight="1">
      <c r="A34" s="1" t="s">
        <v>231</v>
      </c>
      <c r="B34" s="1" t="s">
        <v>192</v>
      </c>
      <c r="C34" s="1" t="s">
        <v>140</v>
      </c>
      <c r="D34" s="1">
        <v>1</v>
      </c>
      <c r="E34" s="5">
        <v>16</v>
      </c>
      <c r="F34" s="5">
        <f t="shared" si="0"/>
        <v>16</v>
      </c>
    </row>
    <row r="35" spans="1:6" ht="27" customHeight="1">
      <c r="A35" s="1" t="s">
        <v>232</v>
      </c>
      <c r="B35" s="1" t="s">
        <v>192</v>
      </c>
      <c r="C35" s="1" t="s">
        <v>154</v>
      </c>
      <c r="D35" s="1">
        <v>1</v>
      </c>
      <c r="E35" s="5">
        <v>18</v>
      </c>
      <c r="F35" s="5">
        <f t="shared" si="0"/>
        <v>18</v>
      </c>
    </row>
    <row r="36" spans="1:6" ht="27" customHeight="1">
      <c r="A36" s="1" t="s">
        <v>233</v>
      </c>
      <c r="B36" s="1" t="s">
        <v>193</v>
      </c>
      <c r="C36" s="1" t="s">
        <v>142</v>
      </c>
      <c r="D36" s="1">
        <v>1</v>
      </c>
      <c r="E36" s="5">
        <v>17</v>
      </c>
      <c r="F36" s="5">
        <f t="shared" si="0"/>
        <v>17</v>
      </c>
    </row>
    <row r="37" spans="1:6" ht="27" customHeight="1">
      <c r="A37" s="1" t="s">
        <v>234</v>
      </c>
      <c r="B37" s="1" t="s">
        <v>193</v>
      </c>
      <c r="C37" s="1" t="s">
        <v>128</v>
      </c>
      <c r="D37" s="1">
        <v>1</v>
      </c>
      <c r="E37" s="5">
        <v>15</v>
      </c>
      <c r="F37" s="5">
        <f t="shared" si="0"/>
        <v>15</v>
      </c>
    </row>
    <row r="38" spans="1:6" ht="27" customHeight="1">
      <c r="A38" s="1" t="s">
        <v>235</v>
      </c>
      <c r="B38" s="1" t="s">
        <v>194</v>
      </c>
      <c r="C38" s="1" t="s">
        <v>144</v>
      </c>
      <c r="D38" s="1">
        <v>1</v>
      </c>
      <c r="E38" s="5">
        <v>18</v>
      </c>
      <c r="F38" s="5">
        <f t="shared" si="0"/>
        <v>18</v>
      </c>
    </row>
    <row r="39" spans="1:6" ht="27" customHeight="1">
      <c r="A39" s="1" t="s">
        <v>236</v>
      </c>
      <c r="B39" s="1" t="s">
        <v>194</v>
      </c>
      <c r="C39" s="1" t="s">
        <v>130</v>
      </c>
      <c r="D39" s="1">
        <v>1</v>
      </c>
      <c r="E39" s="5">
        <v>16</v>
      </c>
      <c r="F39" s="5">
        <f t="shared" si="0"/>
        <v>16</v>
      </c>
    </row>
    <row r="40" spans="1:6" ht="27" customHeight="1">
      <c r="A40" s="1" t="s">
        <v>237</v>
      </c>
      <c r="B40" s="1" t="s">
        <v>195</v>
      </c>
      <c r="C40" s="1" t="s">
        <v>146</v>
      </c>
      <c r="D40" s="1">
        <v>1</v>
      </c>
      <c r="E40" s="5">
        <v>14</v>
      </c>
      <c r="F40" s="5">
        <f t="shared" si="0"/>
        <v>14</v>
      </c>
    </row>
    <row r="41" spans="1:6" ht="27" customHeight="1">
      <c r="A41" s="1" t="s">
        <v>238</v>
      </c>
      <c r="B41" s="1" t="s">
        <v>195</v>
      </c>
      <c r="C41" s="1" t="s">
        <v>132</v>
      </c>
      <c r="D41" s="1">
        <v>1</v>
      </c>
      <c r="E41" s="5">
        <v>17</v>
      </c>
      <c r="F41" s="5">
        <f t="shared" si="0"/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3" width="20" customWidth="1"/>
    <col min="4" max="4" width="25" customWidth="1"/>
    <col min="5" max="5" width="20" customWidth="1"/>
    <col min="6" max="8" width="25" customWidth="1"/>
    <col min="9" max="10" width="20" customWidth="1"/>
    <col min="11" max="11" width="75" customWidth="1"/>
    <col min="12" max="17" width="34" customWidth="1"/>
    <col min="18" max="18" width="20" customWidth="1"/>
  </cols>
  <sheetData>
    <row r="1" spans="1:18" ht="36" customHeight="1">
      <c r="A1" s="2" t="s">
        <v>239</v>
      </c>
      <c r="B1" s="2" t="s">
        <v>156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</row>
    <row r="2" spans="1:18" ht="72" customHeight="1">
      <c r="A2" s="1" t="s">
        <v>256</v>
      </c>
      <c r="B2" s="1" t="s">
        <v>35</v>
      </c>
      <c r="C2" s="1" t="s">
        <v>257</v>
      </c>
      <c r="D2" s="3">
        <v>46283.503472222219</v>
      </c>
      <c r="E2" s="1" t="s">
        <v>258</v>
      </c>
      <c r="F2" s="3">
        <v>46283.509027777778</v>
      </c>
      <c r="G2" s="3">
        <v>46283.518750000003</v>
      </c>
      <c r="H2" s="3">
        <v>46283.519444444442</v>
      </c>
      <c r="I2" s="1">
        <v>8</v>
      </c>
      <c r="J2" s="1">
        <v>4</v>
      </c>
      <c r="K2" s="4" t="s">
        <v>259</v>
      </c>
      <c r="L2" s="4" t="s">
        <v>260</v>
      </c>
      <c r="M2" s="4" t="s">
        <v>261</v>
      </c>
      <c r="N2" s="4" t="s">
        <v>262</v>
      </c>
      <c r="O2" s="4">
        <v>12</v>
      </c>
      <c r="P2" s="4">
        <v>5</v>
      </c>
      <c r="Q2" s="4" t="s">
        <v>263</v>
      </c>
      <c r="R2" s="1" t="s">
        <v>264</v>
      </c>
    </row>
    <row r="3" spans="1:18" ht="72" customHeight="1">
      <c r="A3" s="1" t="s">
        <v>265</v>
      </c>
      <c r="B3" s="1" t="s">
        <v>165</v>
      </c>
      <c r="C3" s="1" t="s">
        <v>257</v>
      </c>
      <c r="D3" s="3">
        <v>46283.504861111112</v>
      </c>
      <c r="E3" s="1" t="s">
        <v>258</v>
      </c>
      <c r="F3" s="3">
        <v>46283.511805555558</v>
      </c>
      <c r="G3" s="3">
        <v>46283.522222222222</v>
      </c>
      <c r="H3" s="3">
        <v>46283.522916666669</v>
      </c>
      <c r="I3" s="1">
        <v>10</v>
      </c>
      <c r="J3" s="1">
        <v>5</v>
      </c>
      <c r="K3" s="4" t="s">
        <v>266</v>
      </c>
      <c r="L3" s="4" t="s">
        <v>260</v>
      </c>
      <c r="M3" s="4" t="s">
        <v>261</v>
      </c>
      <c r="N3" s="4" t="s">
        <v>262</v>
      </c>
      <c r="O3" s="4">
        <v>8</v>
      </c>
      <c r="P3" s="4">
        <v>6</v>
      </c>
      <c r="Q3" s="4" t="s">
        <v>267</v>
      </c>
      <c r="R3" s="1" t="s">
        <v>268</v>
      </c>
    </row>
    <row r="4" spans="1:18" ht="72" customHeight="1">
      <c r="A4" s="1" t="s">
        <v>269</v>
      </c>
      <c r="B4" s="1" t="s">
        <v>167</v>
      </c>
      <c r="C4" s="1" t="s">
        <v>257</v>
      </c>
      <c r="D4" s="3">
        <v>46283.506249999999</v>
      </c>
      <c r="E4" s="1" t="s">
        <v>258</v>
      </c>
      <c r="F4" s="3">
        <v>46283.51458333333</v>
      </c>
      <c r="G4" s="3">
        <v>46283.525694444441</v>
      </c>
      <c r="H4" s="3">
        <v>46283.526388888888</v>
      </c>
      <c r="I4" s="1">
        <v>12</v>
      </c>
      <c r="J4" s="1">
        <v>4</v>
      </c>
      <c r="K4" s="4" t="s">
        <v>270</v>
      </c>
      <c r="L4" s="4" t="s">
        <v>260</v>
      </c>
      <c r="M4" s="4" t="s">
        <v>261</v>
      </c>
      <c r="N4" s="4" t="s">
        <v>271</v>
      </c>
      <c r="O4" s="4">
        <v>9</v>
      </c>
      <c r="P4" s="4">
        <v>7</v>
      </c>
      <c r="Q4" s="4" t="s">
        <v>263</v>
      </c>
      <c r="R4" s="1" t="s">
        <v>272</v>
      </c>
    </row>
    <row r="5" spans="1:18" ht="46" customHeight="1">
      <c r="A5" s="1" t="s">
        <v>273</v>
      </c>
      <c r="B5" s="1" t="s">
        <v>169</v>
      </c>
      <c r="C5" s="1" t="s">
        <v>257</v>
      </c>
      <c r="D5" s="3">
        <v>46283.507638888892</v>
      </c>
      <c r="E5" s="1" t="s">
        <v>258</v>
      </c>
      <c r="F5" s="3">
        <v>46283.513888888891</v>
      </c>
      <c r="G5" s="3">
        <v>46283.52847222222</v>
      </c>
      <c r="H5" s="3">
        <v>46283.529166666667</v>
      </c>
      <c r="I5" s="1">
        <v>9</v>
      </c>
      <c r="J5" s="1">
        <v>6</v>
      </c>
      <c r="K5" s="4" t="s">
        <v>274</v>
      </c>
      <c r="L5" s="4" t="s">
        <v>260</v>
      </c>
      <c r="M5" s="4" t="s">
        <v>261</v>
      </c>
      <c r="N5" s="4" t="s">
        <v>262</v>
      </c>
      <c r="O5" s="4">
        <v>10</v>
      </c>
      <c r="P5" s="4">
        <v>8</v>
      </c>
      <c r="Q5" s="4" t="s">
        <v>263</v>
      </c>
      <c r="R5" s="1" t="s">
        <v>275</v>
      </c>
    </row>
    <row r="6" spans="1:18" ht="46" customHeight="1">
      <c r="A6" s="1" t="s">
        <v>276</v>
      </c>
      <c r="B6" s="1" t="s">
        <v>170</v>
      </c>
      <c r="C6" s="1" t="s">
        <v>257</v>
      </c>
      <c r="D6" s="3">
        <v>46283.509027777778</v>
      </c>
      <c r="E6" s="1" t="s">
        <v>258</v>
      </c>
      <c r="F6" s="3">
        <v>46283.51666666667</v>
      </c>
      <c r="G6" s="3">
        <v>46283.53125</v>
      </c>
      <c r="H6" s="3">
        <v>46283.531944444447</v>
      </c>
      <c r="I6" s="1">
        <v>11</v>
      </c>
      <c r="J6" s="1">
        <v>4</v>
      </c>
      <c r="K6" s="4" t="s">
        <v>274</v>
      </c>
      <c r="L6" s="4" t="s">
        <v>260</v>
      </c>
      <c r="M6" s="4" t="s">
        <v>261</v>
      </c>
      <c r="N6" s="4" t="s">
        <v>262</v>
      </c>
      <c r="O6" s="4">
        <v>11</v>
      </c>
      <c r="P6" s="4">
        <v>9</v>
      </c>
      <c r="Q6" s="4" t="s">
        <v>263</v>
      </c>
      <c r="R6" s="1" t="s">
        <v>277</v>
      </c>
    </row>
    <row r="7" spans="1:18" ht="46" customHeight="1">
      <c r="A7" s="1" t="s">
        <v>278</v>
      </c>
      <c r="B7" s="1" t="s">
        <v>171</v>
      </c>
      <c r="C7" s="1" t="s">
        <v>257</v>
      </c>
      <c r="D7" s="3">
        <v>46283.510416666664</v>
      </c>
      <c r="E7" s="1" t="s">
        <v>258</v>
      </c>
      <c r="F7" s="3">
        <v>46283.517361111109</v>
      </c>
      <c r="G7" s="3">
        <v>46283.534722222219</v>
      </c>
      <c r="H7" s="3">
        <v>46283.535416666666</v>
      </c>
      <c r="I7" s="1">
        <v>10</v>
      </c>
      <c r="J7" s="1">
        <v>5</v>
      </c>
      <c r="K7" s="4" t="s">
        <v>274</v>
      </c>
      <c r="L7" s="4" t="s">
        <v>260</v>
      </c>
      <c r="M7" s="4" t="s">
        <v>261</v>
      </c>
      <c r="N7" s="4" t="s">
        <v>262</v>
      </c>
      <c r="O7" s="4">
        <v>12</v>
      </c>
      <c r="P7" s="4">
        <v>10</v>
      </c>
      <c r="Q7" s="4" t="s">
        <v>263</v>
      </c>
      <c r="R7" s="1" t="s">
        <v>279</v>
      </c>
    </row>
    <row r="8" spans="1:18" ht="46" customHeight="1">
      <c r="A8" s="1" t="s">
        <v>280</v>
      </c>
      <c r="B8" s="1" t="s">
        <v>172</v>
      </c>
      <c r="C8" s="1" t="s">
        <v>281</v>
      </c>
      <c r="D8" s="3"/>
      <c r="E8" s="1" t="s">
        <v>282</v>
      </c>
      <c r="F8" s="3"/>
      <c r="G8" s="3">
        <v>46283.517361111109</v>
      </c>
      <c r="H8" s="3">
        <v>46283.518055555556</v>
      </c>
      <c r="I8" s="1">
        <v>0</v>
      </c>
      <c r="J8" s="1">
        <v>0</v>
      </c>
      <c r="K8" s="4" t="s">
        <v>274</v>
      </c>
      <c r="L8" s="4" t="s">
        <v>283</v>
      </c>
      <c r="M8" s="4" t="s">
        <v>284</v>
      </c>
      <c r="N8" s="4" t="s">
        <v>285</v>
      </c>
      <c r="O8" s="4">
        <v>0</v>
      </c>
      <c r="P8" s="4">
        <v>0</v>
      </c>
      <c r="Q8" s="4" t="s">
        <v>274</v>
      </c>
      <c r="R8" s="1"/>
    </row>
    <row r="9" spans="1:18" ht="46" customHeight="1">
      <c r="A9" s="1" t="s">
        <v>286</v>
      </c>
      <c r="B9" s="1" t="s">
        <v>173</v>
      </c>
      <c r="C9" s="1" t="s">
        <v>281</v>
      </c>
      <c r="D9" s="3"/>
      <c r="E9" s="1" t="s">
        <v>282</v>
      </c>
      <c r="F9" s="3"/>
      <c r="G9" s="3">
        <v>46283.518750000003</v>
      </c>
      <c r="H9" s="3">
        <v>46283.519444444442</v>
      </c>
      <c r="I9" s="1">
        <v>0</v>
      </c>
      <c r="J9" s="1">
        <v>0</v>
      </c>
      <c r="K9" s="4" t="s">
        <v>274</v>
      </c>
      <c r="L9" s="4" t="s">
        <v>283</v>
      </c>
      <c r="M9" s="4" t="s">
        <v>284</v>
      </c>
      <c r="N9" s="4" t="s">
        <v>285</v>
      </c>
      <c r="O9" s="4">
        <v>0</v>
      </c>
      <c r="P9" s="4">
        <v>0</v>
      </c>
      <c r="Q9" s="4" t="s">
        <v>274</v>
      </c>
      <c r="R9" s="1"/>
    </row>
    <row r="10" spans="1:18" ht="46" customHeight="1">
      <c r="A10" s="1" t="s">
        <v>287</v>
      </c>
      <c r="B10" s="1" t="s">
        <v>174</v>
      </c>
      <c r="C10" s="1" t="s">
        <v>281</v>
      </c>
      <c r="D10" s="3"/>
      <c r="E10" s="1" t="s">
        <v>282</v>
      </c>
      <c r="F10" s="3"/>
      <c r="G10" s="3">
        <v>46283.520138888889</v>
      </c>
      <c r="H10" s="3">
        <v>46283.520833333336</v>
      </c>
      <c r="I10" s="1">
        <v>0</v>
      </c>
      <c r="J10" s="1">
        <v>0</v>
      </c>
      <c r="K10" s="4" t="s">
        <v>274</v>
      </c>
      <c r="L10" s="4" t="s">
        <v>283</v>
      </c>
      <c r="M10" s="4" t="s">
        <v>284</v>
      </c>
      <c r="N10" s="4" t="s">
        <v>285</v>
      </c>
      <c r="O10" s="4">
        <v>0</v>
      </c>
      <c r="P10" s="4">
        <v>0</v>
      </c>
      <c r="Q10" s="4" t="s">
        <v>274</v>
      </c>
      <c r="R10" s="1"/>
    </row>
    <row r="11" spans="1:18" ht="46" customHeight="1">
      <c r="A11" s="1" t="s">
        <v>288</v>
      </c>
      <c r="B11" s="1" t="s">
        <v>175</v>
      </c>
      <c r="C11" s="1" t="s">
        <v>281</v>
      </c>
      <c r="D11" s="3"/>
      <c r="E11" s="1" t="s">
        <v>282</v>
      </c>
      <c r="F11" s="3"/>
      <c r="G11" s="3">
        <v>46283.521527777775</v>
      </c>
      <c r="H11" s="3">
        <v>46283.522222222222</v>
      </c>
      <c r="I11" s="1">
        <v>0</v>
      </c>
      <c r="J11" s="1">
        <v>0</v>
      </c>
      <c r="K11" s="4" t="s">
        <v>274</v>
      </c>
      <c r="L11" s="4" t="s">
        <v>283</v>
      </c>
      <c r="M11" s="4" t="s">
        <v>284</v>
      </c>
      <c r="N11" s="4" t="s">
        <v>285</v>
      </c>
      <c r="O11" s="4">
        <v>0</v>
      </c>
      <c r="P11" s="4">
        <v>0</v>
      </c>
      <c r="Q11" s="4" t="s">
        <v>274</v>
      </c>
      <c r="R11" s="1"/>
    </row>
    <row r="12" spans="1:18" ht="46" customHeight="1">
      <c r="A12" s="1" t="s">
        <v>289</v>
      </c>
      <c r="B12" s="1" t="s">
        <v>176</v>
      </c>
      <c r="C12" s="1" t="s">
        <v>281</v>
      </c>
      <c r="D12" s="3"/>
      <c r="E12" s="1" t="s">
        <v>282</v>
      </c>
      <c r="F12" s="3"/>
      <c r="G12" s="3">
        <v>46283.522916666669</v>
      </c>
      <c r="H12" s="3">
        <v>46283.523611111108</v>
      </c>
      <c r="I12" s="1">
        <v>0</v>
      </c>
      <c r="J12" s="1">
        <v>0</v>
      </c>
      <c r="K12" s="4" t="s">
        <v>274</v>
      </c>
      <c r="L12" s="4" t="s">
        <v>283</v>
      </c>
      <c r="M12" s="4" t="s">
        <v>284</v>
      </c>
      <c r="N12" s="4" t="s">
        <v>285</v>
      </c>
      <c r="O12" s="4">
        <v>0</v>
      </c>
      <c r="P12" s="4">
        <v>0</v>
      </c>
      <c r="Q12" s="4" t="s">
        <v>274</v>
      </c>
      <c r="R12" s="1"/>
    </row>
    <row r="13" spans="1:18" ht="46" customHeight="1">
      <c r="A13" s="1" t="s">
        <v>290</v>
      </c>
      <c r="B13" s="1" t="s">
        <v>177</v>
      </c>
      <c r="C13" s="1" t="s">
        <v>281</v>
      </c>
      <c r="D13" s="3"/>
      <c r="E13" s="1" t="s">
        <v>282</v>
      </c>
      <c r="F13" s="3"/>
      <c r="G13" s="3">
        <v>46283.524305555555</v>
      </c>
      <c r="H13" s="3">
        <v>46283.525000000001</v>
      </c>
      <c r="I13" s="1">
        <v>0</v>
      </c>
      <c r="J13" s="1">
        <v>0</v>
      </c>
      <c r="K13" s="4" t="s">
        <v>274</v>
      </c>
      <c r="L13" s="4" t="s">
        <v>283</v>
      </c>
      <c r="M13" s="4" t="s">
        <v>284</v>
      </c>
      <c r="N13" s="4" t="s">
        <v>285</v>
      </c>
      <c r="O13" s="4">
        <v>0</v>
      </c>
      <c r="P13" s="4">
        <v>0</v>
      </c>
      <c r="Q13" s="4" t="s">
        <v>274</v>
      </c>
      <c r="R13" s="1"/>
    </row>
    <row r="14" spans="1:18" ht="46" customHeight="1">
      <c r="A14" s="1" t="s">
        <v>291</v>
      </c>
      <c r="B14" s="1" t="s">
        <v>178</v>
      </c>
      <c r="C14" s="1" t="s">
        <v>281</v>
      </c>
      <c r="D14" s="3"/>
      <c r="E14" s="1" t="s">
        <v>282</v>
      </c>
      <c r="F14" s="3"/>
      <c r="G14" s="3">
        <v>46283.525694444441</v>
      </c>
      <c r="H14" s="3">
        <v>46283.526388888888</v>
      </c>
      <c r="I14" s="1">
        <v>0</v>
      </c>
      <c r="J14" s="1">
        <v>0</v>
      </c>
      <c r="K14" s="4" t="s">
        <v>274</v>
      </c>
      <c r="L14" s="4" t="s">
        <v>283</v>
      </c>
      <c r="M14" s="4" t="s">
        <v>284</v>
      </c>
      <c r="N14" s="4" t="s">
        <v>285</v>
      </c>
      <c r="O14" s="4">
        <v>0</v>
      </c>
      <c r="P14" s="4">
        <v>0</v>
      </c>
      <c r="Q14" s="4" t="s">
        <v>274</v>
      </c>
      <c r="R14" s="1"/>
    </row>
    <row r="15" spans="1:18" ht="46" customHeight="1">
      <c r="A15" s="1" t="s">
        <v>292</v>
      </c>
      <c r="B15" s="1" t="s">
        <v>179</v>
      </c>
      <c r="C15" s="1" t="s">
        <v>281</v>
      </c>
      <c r="D15" s="3"/>
      <c r="E15" s="1" t="s">
        <v>282</v>
      </c>
      <c r="F15" s="3"/>
      <c r="G15" s="3">
        <v>46283.527083333334</v>
      </c>
      <c r="H15" s="3">
        <v>46283.527777777781</v>
      </c>
      <c r="I15" s="1">
        <v>0</v>
      </c>
      <c r="J15" s="1">
        <v>0</v>
      </c>
      <c r="K15" s="4" t="s">
        <v>274</v>
      </c>
      <c r="L15" s="4" t="s">
        <v>283</v>
      </c>
      <c r="M15" s="4" t="s">
        <v>284</v>
      </c>
      <c r="N15" s="4" t="s">
        <v>285</v>
      </c>
      <c r="O15" s="4">
        <v>0</v>
      </c>
      <c r="P15" s="4">
        <v>0</v>
      </c>
      <c r="Q15" s="4" t="s">
        <v>274</v>
      </c>
      <c r="R15" s="1"/>
    </row>
    <row r="16" spans="1:18" ht="46" customHeight="1">
      <c r="A16" s="1" t="s">
        <v>293</v>
      </c>
      <c r="B16" s="1" t="s">
        <v>180</v>
      </c>
      <c r="C16" s="1" t="s">
        <v>281</v>
      </c>
      <c r="D16" s="3"/>
      <c r="E16" s="1" t="s">
        <v>282</v>
      </c>
      <c r="F16" s="3"/>
      <c r="G16" s="3">
        <v>46283.52847222222</v>
      </c>
      <c r="H16" s="3">
        <v>46283.529166666667</v>
      </c>
      <c r="I16" s="1">
        <v>0</v>
      </c>
      <c r="J16" s="1">
        <v>0</v>
      </c>
      <c r="K16" s="4" t="s">
        <v>274</v>
      </c>
      <c r="L16" s="4" t="s">
        <v>283</v>
      </c>
      <c r="M16" s="4" t="s">
        <v>284</v>
      </c>
      <c r="N16" s="4" t="s">
        <v>285</v>
      </c>
      <c r="O16" s="4">
        <v>0</v>
      </c>
      <c r="P16" s="4">
        <v>0</v>
      </c>
      <c r="Q16" s="4" t="s">
        <v>274</v>
      </c>
      <c r="R16" s="1"/>
    </row>
    <row r="17" spans="1:18" ht="46" customHeight="1">
      <c r="A17" s="1" t="s">
        <v>294</v>
      </c>
      <c r="B17" s="1" t="s">
        <v>181</v>
      </c>
      <c r="C17" s="1" t="s">
        <v>281</v>
      </c>
      <c r="D17" s="3"/>
      <c r="E17" s="1" t="s">
        <v>282</v>
      </c>
      <c r="F17" s="3"/>
      <c r="G17" s="3">
        <v>46283.529861111114</v>
      </c>
      <c r="H17" s="3">
        <v>46283.530555555553</v>
      </c>
      <c r="I17" s="1">
        <v>0</v>
      </c>
      <c r="J17" s="1">
        <v>0</v>
      </c>
      <c r="K17" s="4" t="s">
        <v>274</v>
      </c>
      <c r="L17" s="4" t="s">
        <v>283</v>
      </c>
      <c r="M17" s="4" t="s">
        <v>284</v>
      </c>
      <c r="N17" s="4" t="s">
        <v>285</v>
      </c>
      <c r="O17" s="4">
        <v>0</v>
      </c>
      <c r="P17" s="4">
        <v>0</v>
      </c>
      <c r="Q17" s="4" t="s">
        <v>274</v>
      </c>
      <c r="R17" s="1"/>
    </row>
    <row r="18" spans="1:18" ht="46" customHeight="1">
      <c r="A18" s="1" t="s">
        <v>295</v>
      </c>
      <c r="B18" s="1" t="s">
        <v>182</v>
      </c>
      <c r="C18" s="1" t="s">
        <v>281</v>
      </c>
      <c r="D18" s="3"/>
      <c r="E18" s="1" t="s">
        <v>282</v>
      </c>
      <c r="F18" s="3"/>
      <c r="G18" s="3">
        <v>46283.53125</v>
      </c>
      <c r="H18" s="3">
        <v>46283.531944444447</v>
      </c>
      <c r="I18" s="1">
        <v>0</v>
      </c>
      <c r="J18" s="1">
        <v>0</v>
      </c>
      <c r="K18" s="4" t="s">
        <v>274</v>
      </c>
      <c r="L18" s="4" t="s">
        <v>283</v>
      </c>
      <c r="M18" s="4" t="s">
        <v>284</v>
      </c>
      <c r="N18" s="4" t="s">
        <v>285</v>
      </c>
      <c r="O18" s="4">
        <v>0</v>
      </c>
      <c r="P18" s="4">
        <v>0</v>
      </c>
      <c r="Q18" s="4" t="s">
        <v>274</v>
      </c>
      <c r="R18" s="1"/>
    </row>
    <row r="19" spans="1:18" ht="46" customHeight="1">
      <c r="A19" s="1" t="s">
        <v>296</v>
      </c>
      <c r="B19" s="1" t="s">
        <v>183</v>
      </c>
      <c r="C19" s="1" t="s">
        <v>281</v>
      </c>
      <c r="D19" s="3"/>
      <c r="E19" s="1" t="s">
        <v>282</v>
      </c>
      <c r="F19" s="3"/>
      <c r="G19" s="3">
        <v>46283.532638888886</v>
      </c>
      <c r="H19" s="3">
        <v>46283.533333333333</v>
      </c>
      <c r="I19" s="1">
        <v>0</v>
      </c>
      <c r="J19" s="1">
        <v>0</v>
      </c>
      <c r="K19" s="4" t="s">
        <v>274</v>
      </c>
      <c r="L19" s="4" t="s">
        <v>283</v>
      </c>
      <c r="M19" s="4" t="s">
        <v>284</v>
      </c>
      <c r="N19" s="4" t="s">
        <v>285</v>
      </c>
      <c r="O19" s="4">
        <v>0</v>
      </c>
      <c r="P19" s="4">
        <v>0</v>
      </c>
      <c r="Q19" s="4" t="s">
        <v>274</v>
      </c>
      <c r="R19" s="1"/>
    </row>
    <row r="20" spans="1:18" ht="46" customHeight="1">
      <c r="A20" s="1" t="s">
        <v>297</v>
      </c>
      <c r="B20" s="1" t="s">
        <v>184</v>
      </c>
      <c r="C20" s="1" t="s">
        <v>281</v>
      </c>
      <c r="D20" s="3"/>
      <c r="E20" s="1" t="s">
        <v>282</v>
      </c>
      <c r="F20" s="3"/>
      <c r="G20" s="3">
        <v>46283.53402777778</v>
      </c>
      <c r="H20" s="3">
        <v>46283.534722222219</v>
      </c>
      <c r="I20" s="1">
        <v>0</v>
      </c>
      <c r="J20" s="1">
        <v>0</v>
      </c>
      <c r="K20" s="4" t="s">
        <v>274</v>
      </c>
      <c r="L20" s="4" t="s">
        <v>283</v>
      </c>
      <c r="M20" s="4" t="s">
        <v>284</v>
      </c>
      <c r="N20" s="4" t="s">
        <v>285</v>
      </c>
      <c r="O20" s="4">
        <v>0</v>
      </c>
      <c r="P20" s="4">
        <v>0</v>
      </c>
      <c r="Q20" s="4" t="s">
        <v>274</v>
      </c>
      <c r="R20" s="1"/>
    </row>
    <row r="21" spans="1:18" ht="46" customHeight="1">
      <c r="A21" s="1" t="s">
        <v>298</v>
      </c>
      <c r="B21" s="1" t="s">
        <v>185</v>
      </c>
      <c r="C21" s="1" t="s">
        <v>281</v>
      </c>
      <c r="D21" s="3"/>
      <c r="E21" s="1" t="s">
        <v>282</v>
      </c>
      <c r="F21" s="3"/>
      <c r="G21" s="3">
        <v>46283.535416666666</v>
      </c>
      <c r="H21" s="3">
        <v>46283.536111111112</v>
      </c>
      <c r="I21" s="1">
        <v>0</v>
      </c>
      <c r="J21" s="1">
        <v>0</v>
      </c>
      <c r="K21" s="4" t="s">
        <v>274</v>
      </c>
      <c r="L21" s="4" t="s">
        <v>283</v>
      </c>
      <c r="M21" s="4" t="s">
        <v>284</v>
      </c>
      <c r="N21" s="4" t="s">
        <v>285</v>
      </c>
      <c r="O21" s="4">
        <v>0</v>
      </c>
      <c r="P21" s="4">
        <v>0</v>
      </c>
      <c r="Q21" s="4" t="s">
        <v>274</v>
      </c>
      <c r="R21" s="1"/>
    </row>
    <row r="22" spans="1:18" ht="46" customHeight="1">
      <c r="A22" s="1" t="s">
        <v>299</v>
      </c>
      <c r="B22" s="1" t="s">
        <v>186</v>
      </c>
      <c r="C22" s="1" t="s">
        <v>281</v>
      </c>
      <c r="D22" s="3"/>
      <c r="E22" s="1" t="s">
        <v>282</v>
      </c>
      <c r="F22" s="3"/>
      <c r="G22" s="3">
        <v>46283.536805555559</v>
      </c>
      <c r="H22" s="3">
        <v>46283.537499999999</v>
      </c>
      <c r="I22" s="1">
        <v>0</v>
      </c>
      <c r="J22" s="1">
        <v>0</v>
      </c>
      <c r="K22" s="4" t="s">
        <v>274</v>
      </c>
      <c r="L22" s="4" t="s">
        <v>283</v>
      </c>
      <c r="M22" s="4" t="s">
        <v>284</v>
      </c>
      <c r="N22" s="4" t="s">
        <v>285</v>
      </c>
      <c r="O22" s="4">
        <v>0</v>
      </c>
      <c r="P22" s="4">
        <v>0</v>
      </c>
      <c r="Q22" s="4" t="s">
        <v>274</v>
      </c>
      <c r="R22" s="1"/>
    </row>
    <row r="23" spans="1:18" ht="46" customHeight="1">
      <c r="A23" s="1" t="s">
        <v>300</v>
      </c>
      <c r="B23" s="1" t="s">
        <v>187</v>
      </c>
      <c r="C23" s="1" t="s">
        <v>281</v>
      </c>
      <c r="D23" s="3"/>
      <c r="E23" s="1" t="s">
        <v>282</v>
      </c>
      <c r="F23" s="3"/>
      <c r="G23" s="3">
        <v>46283.538194444445</v>
      </c>
      <c r="H23" s="3">
        <v>46283.538888888892</v>
      </c>
      <c r="I23" s="1">
        <v>0</v>
      </c>
      <c r="J23" s="1">
        <v>0</v>
      </c>
      <c r="K23" s="4" t="s">
        <v>274</v>
      </c>
      <c r="L23" s="4" t="s">
        <v>283</v>
      </c>
      <c r="M23" s="4" t="s">
        <v>284</v>
      </c>
      <c r="N23" s="4" t="s">
        <v>285</v>
      </c>
      <c r="O23" s="4">
        <v>0</v>
      </c>
      <c r="P23" s="4">
        <v>0</v>
      </c>
      <c r="Q23" s="4" t="s">
        <v>274</v>
      </c>
      <c r="R23" s="1"/>
    </row>
    <row r="24" spans="1:18" ht="46" customHeight="1">
      <c r="A24" s="1" t="s">
        <v>301</v>
      </c>
      <c r="B24" s="1" t="s">
        <v>188</v>
      </c>
      <c r="C24" s="1" t="s">
        <v>281</v>
      </c>
      <c r="D24" s="3"/>
      <c r="E24" s="1" t="s">
        <v>282</v>
      </c>
      <c r="F24" s="3"/>
      <c r="G24" s="3">
        <v>46283.539583333331</v>
      </c>
      <c r="H24" s="3">
        <v>46283.540277777778</v>
      </c>
      <c r="I24" s="1">
        <v>0</v>
      </c>
      <c r="J24" s="1">
        <v>0</v>
      </c>
      <c r="K24" s="4" t="s">
        <v>274</v>
      </c>
      <c r="L24" s="4" t="s">
        <v>283</v>
      </c>
      <c r="M24" s="4" t="s">
        <v>284</v>
      </c>
      <c r="N24" s="4" t="s">
        <v>285</v>
      </c>
      <c r="O24" s="4">
        <v>0</v>
      </c>
      <c r="P24" s="4">
        <v>0</v>
      </c>
      <c r="Q24" s="4" t="s">
        <v>274</v>
      </c>
      <c r="R24" s="1"/>
    </row>
    <row r="25" spans="1:18" ht="46" customHeight="1">
      <c r="A25" s="1" t="s">
        <v>302</v>
      </c>
      <c r="B25" s="1" t="s">
        <v>189</v>
      </c>
      <c r="C25" s="1" t="s">
        <v>281</v>
      </c>
      <c r="D25" s="3"/>
      <c r="E25" s="1" t="s">
        <v>282</v>
      </c>
      <c r="F25" s="3"/>
      <c r="G25" s="3">
        <v>46283.540972222225</v>
      </c>
      <c r="H25" s="3">
        <v>46283.541666666664</v>
      </c>
      <c r="I25" s="1">
        <v>0</v>
      </c>
      <c r="J25" s="1">
        <v>0</v>
      </c>
      <c r="K25" s="4" t="s">
        <v>274</v>
      </c>
      <c r="L25" s="4" t="s">
        <v>283</v>
      </c>
      <c r="M25" s="4" t="s">
        <v>284</v>
      </c>
      <c r="N25" s="4" t="s">
        <v>285</v>
      </c>
      <c r="O25" s="4">
        <v>0</v>
      </c>
      <c r="P25" s="4">
        <v>0</v>
      </c>
      <c r="Q25" s="4" t="s">
        <v>274</v>
      </c>
      <c r="R25" s="1"/>
    </row>
    <row r="26" spans="1:18" ht="46" customHeight="1">
      <c r="A26" s="1" t="s">
        <v>303</v>
      </c>
      <c r="B26" s="1" t="s">
        <v>190</v>
      </c>
      <c r="C26" s="1" t="s">
        <v>281</v>
      </c>
      <c r="D26" s="3"/>
      <c r="E26" s="1" t="s">
        <v>282</v>
      </c>
      <c r="F26" s="3"/>
      <c r="G26" s="3">
        <v>46283.542361111111</v>
      </c>
      <c r="H26" s="3">
        <v>46283.543055555558</v>
      </c>
      <c r="I26" s="1">
        <v>0</v>
      </c>
      <c r="J26" s="1">
        <v>0</v>
      </c>
      <c r="K26" s="4" t="s">
        <v>274</v>
      </c>
      <c r="L26" s="4" t="s">
        <v>283</v>
      </c>
      <c r="M26" s="4" t="s">
        <v>284</v>
      </c>
      <c r="N26" s="4" t="s">
        <v>285</v>
      </c>
      <c r="O26" s="4">
        <v>0</v>
      </c>
      <c r="P26" s="4">
        <v>0</v>
      </c>
      <c r="Q26" s="4" t="s">
        <v>274</v>
      </c>
      <c r="R26" s="1"/>
    </row>
    <row r="27" spans="1:18" ht="46" customHeight="1">
      <c r="A27" s="1" t="s">
        <v>304</v>
      </c>
      <c r="B27" s="1" t="s">
        <v>191</v>
      </c>
      <c r="C27" s="1" t="s">
        <v>281</v>
      </c>
      <c r="D27" s="3"/>
      <c r="E27" s="1" t="s">
        <v>282</v>
      </c>
      <c r="F27" s="3"/>
      <c r="G27" s="3">
        <v>46283.543749999997</v>
      </c>
      <c r="H27" s="3">
        <v>46283.544444444444</v>
      </c>
      <c r="I27" s="1">
        <v>0</v>
      </c>
      <c r="J27" s="1">
        <v>0</v>
      </c>
      <c r="K27" s="4" t="s">
        <v>274</v>
      </c>
      <c r="L27" s="4" t="s">
        <v>283</v>
      </c>
      <c r="M27" s="4" t="s">
        <v>284</v>
      </c>
      <c r="N27" s="4" t="s">
        <v>285</v>
      </c>
      <c r="O27" s="4">
        <v>0</v>
      </c>
      <c r="P27" s="4">
        <v>0</v>
      </c>
      <c r="Q27" s="4" t="s">
        <v>274</v>
      </c>
      <c r="R27" s="1"/>
    </row>
    <row r="28" spans="1:18" ht="46" customHeight="1">
      <c r="A28" s="1" t="s">
        <v>305</v>
      </c>
      <c r="B28" s="1" t="s">
        <v>192</v>
      </c>
      <c r="C28" s="1" t="s">
        <v>281</v>
      </c>
      <c r="D28" s="3"/>
      <c r="E28" s="1" t="s">
        <v>282</v>
      </c>
      <c r="F28" s="3"/>
      <c r="G28" s="3">
        <v>46283.545138888891</v>
      </c>
      <c r="H28" s="3">
        <v>46283.54583333333</v>
      </c>
      <c r="I28" s="1">
        <v>0</v>
      </c>
      <c r="J28" s="1">
        <v>0</v>
      </c>
      <c r="K28" s="4" t="s">
        <v>274</v>
      </c>
      <c r="L28" s="4" t="s">
        <v>283</v>
      </c>
      <c r="M28" s="4" t="s">
        <v>284</v>
      </c>
      <c r="N28" s="4" t="s">
        <v>285</v>
      </c>
      <c r="O28" s="4">
        <v>0</v>
      </c>
      <c r="P28" s="4">
        <v>0</v>
      </c>
      <c r="Q28" s="4" t="s">
        <v>274</v>
      </c>
      <c r="R28" s="1"/>
    </row>
    <row r="29" spans="1:18" ht="46" customHeight="1">
      <c r="A29" s="1" t="s">
        <v>306</v>
      </c>
      <c r="B29" s="1" t="s">
        <v>193</v>
      </c>
      <c r="C29" s="1" t="s">
        <v>281</v>
      </c>
      <c r="D29" s="3"/>
      <c r="E29" s="1" t="s">
        <v>282</v>
      </c>
      <c r="F29" s="3"/>
      <c r="G29" s="3">
        <v>46283.546527777777</v>
      </c>
      <c r="H29" s="3">
        <v>46283.547222222223</v>
      </c>
      <c r="I29" s="1">
        <v>0</v>
      </c>
      <c r="J29" s="1">
        <v>0</v>
      </c>
      <c r="K29" s="4" t="s">
        <v>274</v>
      </c>
      <c r="L29" s="4" t="s">
        <v>283</v>
      </c>
      <c r="M29" s="4" t="s">
        <v>284</v>
      </c>
      <c r="N29" s="4" t="s">
        <v>285</v>
      </c>
      <c r="O29" s="4">
        <v>0</v>
      </c>
      <c r="P29" s="4">
        <v>0</v>
      </c>
      <c r="Q29" s="4" t="s">
        <v>274</v>
      </c>
      <c r="R29" s="1"/>
    </row>
    <row r="30" spans="1:18" ht="46" customHeight="1">
      <c r="A30" s="1" t="s">
        <v>307</v>
      </c>
      <c r="B30" s="1" t="s">
        <v>194</v>
      </c>
      <c r="C30" s="1" t="s">
        <v>281</v>
      </c>
      <c r="D30" s="3"/>
      <c r="E30" s="1" t="s">
        <v>282</v>
      </c>
      <c r="F30" s="3"/>
      <c r="G30" s="3">
        <v>46283.54791666667</v>
      </c>
      <c r="H30" s="3">
        <v>46283.548611111109</v>
      </c>
      <c r="I30" s="1">
        <v>0</v>
      </c>
      <c r="J30" s="1">
        <v>0</v>
      </c>
      <c r="K30" s="4" t="s">
        <v>274</v>
      </c>
      <c r="L30" s="4" t="s">
        <v>283</v>
      </c>
      <c r="M30" s="4" t="s">
        <v>284</v>
      </c>
      <c r="N30" s="4" t="s">
        <v>285</v>
      </c>
      <c r="O30" s="4">
        <v>0</v>
      </c>
      <c r="P30" s="4">
        <v>0</v>
      </c>
      <c r="Q30" s="4" t="s">
        <v>274</v>
      </c>
      <c r="R30" s="1"/>
    </row>
    <row r="31" spans="1:18" ht="46" customHeight="1">
      <c r="A31" s="1" t="s">
        <v>308</v>
      </c>
      <c r="B31" s="1" t="s">
        <v>195</v>
      </c>
      <c r="C31" s="1" t="s">
        <v>281</v>
      </c>
      <c r="D31" s="3"/>
      <c r="E31" s="1" t="s">
        <v>282</v>
      </c>
      <c r="F31" s="3"/>
      <c r="G31" s="3">
        <v>46283.549305555556</v>
      </c>
      <c r="H31" s="3">
        <v>46283.55</v>
      </c>
      <c r="I31" s="1">
        <v>0</v>
      </c>
      <c r="J31" s="1">
        <v>0</v>
      </c>
      <c r="K31" s="4" t="s">
        <v>274</v>
      </c>
      <c r="L31" s="4" t="s">
        <v>283</v>
      </c>
      <c r="M31" s="4" t="s">
        <v>284</v>
      </c>
      <c r="N31" s="4" t="s">
        <v>285</v>
      </c>
      <c r="O31" s="4">
        <v>0</v>
      </c>
      <c r="P31" s="4">
        <v>0</v>
      </c>
      <c r="Q31" s="4" t="s">
        <v>274</v>
      </c>
      <c r="R3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20" customWidth="1"/>
    <col min="3" max="3" width="25" customWidth="1"/>
    <col min="4" max="6" width="20" customWidth="1"/>
    <col min="7" max="7" width="25" customWidth="1"/>
  </cols>
  <sheetData>
    <row r="1" spans="1:7" ht="36" customHeight="1">
      <c r="A1" s="2" t="s">
        <v>309</v>
      </c>
      <c r="B1" s="2" t="s">
        <v>156</v>
      </c>
      <c r="C1" s="2" t="s">
        <v>310</v>
      </c>
      <c r="D1" s="2" t="s">
        <v>311</v>
      </c>
      <c r="E1" s="2" t="s">
        <v>312</v>
      </c>
      <c r="F1" s="2" t="s">
        <v>313</v>
      </c>
      <c r="G1" s="2" t="s">
        <v>314</v>
      </c>
    </row>
    <row r="2" spans="1:7" ht="27" customHeight="1">
      <c r="A2" s="1" t="s">
        <v>315</v>
      </c>
      <c r="B2" s="1" t="s">
        <v>35</v>
      </c>
      <c r="C2" s="3">
        <v>46283.500347222223</v>
      </c>
      <c r="D2" s="5">
        <v>15</v>
      </c>
      <c r="E2" s="5">
        <v>3</v>
      </c>
      <c r="F2" s="5">
        <f t="shared" ref="F2:F31" si="0">D2-E2</f>
        <v>12</v>
      </c>
      <c r="G2" s="3">
        <v>46283.519444444442</v>
      </c>
    </row>
    <row r="3" spans="1:7" ht="27" customHeight="1">
      <c r="A3" s="1" t="s">
        <v>316</v>
      </c>
      <c r="B3" s="1" t="s">
        <v>165</v>
      </c>
      <c r="C3" s="3">
        <v>46283.501736111109</v>
      </c>
      <c r="D3" s="5">
        <v>16</v>
      </c>
      <c r="E3" s="5">
        <v>3</v>
      </c>
      <c r="F3" s="5">
        <f t="shared" si="0"/>
        <v>13</v>
      </c>
      <c r="G3" s="3">
        <v>46283.522916666669</v>
      </c>
    </row>
    <row r="4" spans="1:7" ht="27" customHeight="1">
      <c r="A4" s="1" t="s">
        <v>317</v>
      </c>
      <c r="B4" s="1" t="s">
        <v>167</v>
      </c>
      <c r="C4" s="3">
        <v>46283.503125000003</v>
      </c>
      <c r="D4" s="5">
        <v>17</v>
      </c>
      <c r="E4" s="5">
        <v>4</v>
      </c>
      <c r="F4" s="5">
        <f t="shared" si="0"/>
        <v>13</v>
      </c>
      <c r="G4" s="3">
        <v>46283.526388888888</v>
      </c>
    </row>
    <row r="5" spans="1:7" ht="27" customHeight="1">
      <c r="A5" s="1" t="s">
        <v>318</v>
      </c>
      <c r="B5" s="1" t="s">
        <v>169</v>
      </c>
      <c r="C5" s="3">
        <v>46283.504513888889</v>
      </c>
      <c r="D5" s="5">
        <v>18</v>
      </c>
      <c r="E5" s="5">
        <v>3</v>
      </c>
      <c r="F5" s="5">
        <f t="shared" si="0"/>
        <v>15</v>
      </c>
      <c r="G5" s="3">
        <v>46283.529166666667</v>
      </c>
    </row>
    <row r="6" spans="1:7" ht="27" customHeight="1">
      <c r="A6" s="1" t="s">
        <v>319</v>
      </c>
      <c r="B6" s="1" t="s">
        <v>170</v>
      </c>
      <c r="C6" s="3">
        <v>46283.505902777775</v>
      </c>
      <c r="D6" s="5">
        <v>14</v>
      </c>
      <c r="E6" s="5">
        <v>4</v>
      </c>
      <c r="F6" s="5">
        <f t="shared" si="0"/>
        <v>10</v>
      </c>
      <c r="G6" s="3">
        <v>46283.531944444447</v>
      </c>
    </row>
    <row r="7" spans="1:7" ht="27" customHeight="1">
      <c r="A7" s="1" t="s">
        <v>320</v>
      </c>
      <c r="B7" s="1" t="s">
        <v>171</v>
      </c>
      <c r="C7" s="3">
        <v>46283.507291666669</v>
      </c>
      <c r="D7" s="5">
        <v>15</v>
      </c>
      <c r="E7" s="5">
        <v>3</v>
      </c>
      <c r="F7" s="5">
        <f t="shared" si="0"/>
        <v>12</v>
      </c>
      <c r="G7" s="3">
        <v>46283.535416666666</v>
      </c>
    </row>
    <row r="8" spans="1:7" ht="27" customHeight="1">
      <c r="A8" s="1" t="s">
        <v>321</v>
      </c>
      <c r="B8" s="1" t="s">
        <v>172</v>
      </c>
      <c r="C8" s="3">
        <v>46283.508680555555</v>
      </c>
      <c r="D8" s="5">
        <v>15</v>
      </c>
      <c r="E8" s="5">
        <v>0</v>
      </c>
      <c r="F8" s="5">
        <f t="shared" si="0"/>
        <v>15</v>
      </c>
      <c r="G8" s="3">
        <v>46283.518055555556</v>
      </c>
    </row>
    <row r="9" spans="1:7" ht="27" customHeight="1">
      <c r="A9" s="1" t="s">
        <v>322</v>
      </c>
      <c r="B9" s="1" t="s">
        <v>173</v>
      </c>
      <c r="C9" s="3">
        <v>46283.510069444441</v>
      </c>
      <c r="D9" s="5">
        <v>16</v>
      </c>
      <c r="E9" s="5">
        <v>0</v>
      </c>
      <c r="F9" s="5">
        <f t="shared" si="0"/>
        <v>16</v>
      </c>
      <c r="G9" s="3">
        <v>46283.519444444442</v>
      </c>
    </row>
    <row r="10" spans="1:7" ht="27" customHeight="1">
      <c r="A10" s="1" t="s">
        <v>323</v>
      </c>
      <c r="B10" s="1" t="s">
        <v>174</v>
      </c>
      <c r="C10" s="3">
        <v>46283.511458333334</v>
      </c>
      <c r="D10" s="5">
        <v>17</v>
      </c>
      <c r="E10" s="5">
        <v>0</v>
      </c>
      <c r="F10" s="5">
        <f t="shared" si="0"/>
        <v>17</v>
      </c>
      <c r="G10" s="3">
        <v>46283.520833333336</v>
      </c>
    </row>
    <row r="11" spans="1:7" ht="27" customHeight="1">
      <c r="A11" s="1" t="s">
        <v>324</v>
      </c>
      <c r="B11" s="1" t="s">
        <v>175</v>
      </c>
      <c r="C11" s="3">
        <v>46283.51284722222</v>
      </c>
      <c r="D11" s="5">
        <v>18</v>
      </c>
      <c r="E11" s="5">
        <v>0</v>
      </c>
      <c r="F11" s="5">
        <f t="shared" si="0"/>
        <v>18</v>
      </c>
      <c r="G11" s="3">
        <v>46283.522222222222</v>
      </c>
    </row>
    <row r="12" spans="1:7" ht="27" customHeight="1">
      <c r="A12" s="1" t="s">
        <v>325</v>
      </c>
      <c r="B12" s="1" t="s">
        <v>176</v>
      </c>
      <c r="C12" s="3">
        <v>46283.514236111114</v>
      </c>
      <c r="D12" s="5">
        <v>14</v>
      </c>
      <c r="E12" s="5">
        <v>0</v>
      </c>
      <c r="F12" s="5">
        <f t="shared" si="0"/>
        <v>14</v>
      </c>
      <c r="G12" s="3">
        <v>46283.523611111108</v>
      </c>
    </row>
    <row r="13" spans="1:7" ht="27" customHeight="1">
      <c r="A13" s="1" t="s">
        <v>326</v>
      </c>
      <c r="B13" s="1" t="s">
        <v>177</v>
      </c>
      <c r="C13" s="3">
        <v>46283.515625</v>
      </c>
      <c r="D13" s="5">
        <v>15</v>
      </c>
      <c r="E13" s="5">
        <v>0</v>
      </c>
      <c r="F13" s="5">
        <f t="shared" si="0"/>
        <v>15</v>
      </c>
      <c r="G13" s="3">
        <v>46283.525000000001</v>
      </c>
    </row>
    <row r="14" spans="1:7" ht="27" customHeight="1">
      <c r="A14" s="1" t="s">
        <v>327</v>
      </c>
      <c r="B14" s="1" t="s">
        <v>178</v>
      </c>
      <c r="C14" s="3">
        <v>46283.517013888886</v>
      </c>
      <c r="D14" s="5">
        <v>16</v>
      </c>
      <c r="E14" s="5">
        <v>0</v>
      </c>
      <c r="F14" s="5">
        <f t="shared" si="0"/>
        <v>16</v>
      </c>
      <c r="G14" s="3">
        <v>46283.526388888888</v>
      </c>
    </row>
    <row r="15" spans="1:7" ht="27" customHeight="1">
      <c r="A15" s="1" t="s">
        <v>328</v>
      </c>
      <c r="B15" s="1" t="s">
        <v>179</v>
      </c>
      <c r="C15" s="3">
        <v>46283.51840277778</v>
      </c>
      <c r="D15" s="5">
        <v>17</v>
      </c>
      <c r="E15" s="5">
        <v>0</v>
      </c>
      <c r="F15" s="5">
        <f t="shared" si="0"/>
        <v>17</v>
      </c>
      <c r="G15" s="3">
        <v>46283.527777777781</v>
      </c>
    </row>
    <row r="16" spans="1:7" ht="27" customHeight="1">
      <c r="A16" s="1" t="s">
        <v>329</v>
      </c>
      <c r="B16" s="1" t="s">
        <v>180</v>
      </c>
      <c r="C16" s="3">
        <v>46283.519791666666</v>
      </c>
      <c r="D16" s="5">
        <v>18</v>
      </c>
      <c r="E16" s="5">
        <v>0</v>
      </c>
      <c r="F16" s="5">
        <f t="shared" si="0"/>
        <v>18</v>
      </c>
      <c r="G16" s="3">
        <v>46283.529166666667</v>
      </c>
    </row>
    <row r="17" spans="1:7" ht="27" customHeight="1">
      <c r="A17" s="1" t="s">
        <v>330</v>
      </c>
      <c r="B17" s="1" t="s">
        <v>181</v>
      </c>
      <c r="C17" s="3">
        <v>46283.521180555559</v>
      </c>
      <c r="D17" s="5">
        <v>14</v>
      </c>
      <c r="E17" s="5">
        <v>0</v>
      </c>
      <c r="F17" s="5">
        <f t="shared" si="0"/>
        <v>14</v>
      </c>
      <c r="G17" s="3">
        <v>46283.530555555553</v>
      </c>
    </row>
    <row r="18" spans="1:7" ht="27" customHeight="1">
      <c r="A18" s="1" t="s">
        <v>331</v>
      </c>
      <c r="B18" s="1" t="s">
        <v>182</v>
      </c>
      <c r="C18" s="3">
        <v>46283.522569444445</v>
      </c>
      <c r="D18" s="5">
        <v>15</v>
      </c>
      <c r="E18" s="5">
        <v>0</v>
      </c>
      <c r="F18" s="5">
        <f t="shared" si="0"/>
        <v>15</v>
      </c>
      <c r="G18" s="3">
        <v>46283.531944444447</v>
      </c>
    </row>
    <row r="19" spans="1:7" ht="27" customHeight="1">
      <c r="A19" s="1" t="s">
        <v>332</v>
      </c>
      <c r="B19" s="1" t="s">
        <v>183</v>
      </c>
      <c r="C19" s="3">
        <v>46283.523958333331</v>
      </c>
      <c r="D19" s="5">
        <v>16</v>
      </c>
      <c r="E19" s="5">
        <v>0</v>
      </c>
      <c r="F19" s="5">
        <f t="shared" si="0"/>
        <v>16</v>
      </c>
      <c r="G19" s="3">
        <v>46283.533333333333</v>
      </c>
    </row>
    <row r="20" spans="1:7" ht="27" customHeight="1">
      <c r="A20" s="1" t="s">
        <v>333</v>
      </c>
      <c r="B20" s="1" t="s">
        <v>184</v>
      </c>
      <c r="C20" s="3">
        <v>46283.525347222225</v>
      </c>
      <c r="D20" s="5">
        <v>17</v>
      </c>
      <c r="E20" s="5">
        <v>0</v>
      </c>
      <c r="F20" s="5">
        <f t="shared" si="0"/>
        <v>17</v>
      </c>
      <c r="G20" s="3">
        <v>46283.534722222219</v>
      </c>
    </row>
    <row r="21" spans="1:7" ht="27" customHeight="1">
      <c r="A21" s="1" t="s">
        <v>334</v>
      </c>
      <c r="B21" s="1" t="s">
        <v>185</v>
      </c>
      <c r="C21" s="3">
        <v>46283.526736111111</v>
      </c>
      <c r="D21" s="5">
        <v>18</v>
      </c>
      <c r="E21" s="5">
        <v>0</v>
      </c>
      <c r="F21" s="5">
        <f t="shared" si="0"/>
        <v>18</v>
      </c>
      <c r="G21" s="3">
        <v>46283.536111111112</v>
      </c>
    </row>
    <row r="22" spans="1:7" ht="27" customHeight="1">
      <c r="A22" s="1" t="s">
        <v>335</v>
      </c>
      <c r="B22" s="1" t="s">
        <v>186</v>
      </c>
      <c r="C22" s="3">
        <v>46283.528124999997</v>
      </c>
      <c r="D22" s="5">
        <v>32</v>
      </c>
      <c r="E22" s="5">
        <v>0</v>
      </c>
      <c r="F22" s="5">
        <f t="shared" si="0"/>
        <v>32</v>
      </c>
      <c r="G22" s="3">
        <v>46283.537499999999</v>
      </c>
    </row>
    <row r="23" spans="1:7" ht="27" customHeight="1">
      <c r="A23" s="1" t="s">
        <v>336</v>
      </c>
      <c r="B23" s="1" t="s">
        <v>187</v>
      </c>
      <c r="C23" s="3">
        <v>46283.529513888891</v>
      </c>
      <c r="D23" s="5">
        <v>34</v>
      </c>
      <c r="E23" s="5">
        <v>0</v>
      </c>
      <c r="F23" s="5">
        <f t="shared" si="0"/>
        <v>34</v>
      </c>
      <c r="G23" s="3">
        <v>46283.538888888892</v>
      </c>
    </row>
    <row r="24" spans="1:7" ht="27" customHeight="1">
      <c r="A24" s="1" t="s">
        <v>337</v>
      </c>
      <c r="B24" s="1" t="s">
        <v>188</v>
      </c>
      <c r="C24" s="3">
        <v>46283.530902777777</v>
      </c>
      <c r="D24" s="5">
        <v>31</v>
      </c>
      <c r="E24" s="5">
        <v>0</v>
      </c>
      <c r="F24" s="5">
        <f t="shared" si="0"/>
        <v>31</v>
      </c>
      <c r="G24" s="3">
        <v>46283.540277777778</v>
      </c>
    </row>
    <row r="25" spans="1:7" ht="27" customHeight="1">
      <c r="A25" s="1" t="s">
        <v>338</v>
      </c>
      <c r="B25" s="1" t="s">
        <v>189</v>
      </c>
      <c r="C25" s="3">
        <v>46283.53229166667</v>
      </c>
      <c r="D25" s="5">
        <v>33</v>
      </c>
      <c r="E25" s="5">
        <v>0</v>
      </c>
      <c r="F25" s="5">
        <f t="shared" si="0"/>
        <v>33</v>
      </c>
      <c r="G25" s="3">
        <v>46283.541666666664</v>
      </c>
    </row>
    <row r="26" spans="1:7" ht="27" customHeight="1">
      <c r="A26" s="1" t="s">
        <v>339</v>
      </c>
      <c r="B26" s="1" t="s">
        <v>190</v>
      </c>
      <c r="C26" s="3">
        <v>46283.533680555556</v>
      </c>
      <c r="D26" s="5">
        <v>30</v>
      </c>
      <c r="E26" s="5">
        <v>0</v>
      </c>
      <c r="F26" s="5">
        <f t="shared" si="0"/>
        <v>30</v>
      </c>
      <c r="G26" s="3">
        <v>46283.543055555558</v>
      </c>
    </row>
    <row r="27" spans="1:7" ht="27" customHeight="1">
      <c r="A27" s="1" t="s">
        <v>340</v>
      </c>
      <c r="B27" s="1" t="s">
        <v>191</v>
      </c>
      <c r="C27" s="3">
        <v>46283.535069444442</v>
      </c>
      <c r="D27" s="5">
        <v>32</v>
      </c>
      <c r="E27" s="5">
        <v>0</v>
      </c>
      <c r="F27" s="5">
        <f t="shared" si="0"/>
        <v>32</v>
      </c>
      <c r="G27" s="3">
        <v>46283.544444444444</v>
      </c>
    </row>
    <row r="28" spans="1:7" ht="27" customHeight="1">
      <c r="A28" s="1" t="s">
        <v>341</v>
      </c>
      <c r="B28" s="1" t="s">
        <v>192</v>
      </c>
      <c r="C28" s="3">
        <v>46283.536458333336</v>
      </c>
      <c r="D28" s="5">
        <v>34</v>
      </c>
      <c r="E28" s="5">
        <v>0</v>
      </c>
      <c r="F28" s="5">
        <f t="shared" si="0"/>
        <v>34</v>
      </c>
      <c r="G28" s="3">
        <v>46283.54583333333</v>
      </c>
    </row>
    <row r="29" spans="1:7" ht="27" customHeight="1">
      <c r="A29" s="1" t="s">
        <v>342</v>
      </c>
      <c r="B29" s="1" t="s">
        <v>193</v>
      </c>
      <c r="C29" s="3">
        <v>46283.537847222222</v>
      </c>
      <c r="D29" s="5">
        <v>32</v>
      </c>
      <c r="E29" s="5">
        <v>0</v>
      </c>
      <c r="F29" s="5">
        <f t="shared" si="0"/>
        <v>32</v>
      </c>
      <c r="G29" s="3">
        <v>46283.547222222223</v>
      </c>
    </row>
    <row r="30" spans="1:7" ht="27" customHeight="1">
      <c r="A30" s="1" t="s">
        <v>343</v>
      </c>
      <c r="B30" s="1" t="s">
        <v>194</v>
      </c>
      <c r="C30" s="3">
        <v>46283.539236111108</v>
      </c>
      <c r="D30" s="5">
        <v>34</v>
      </c>
      <c r="E30" s="5">
        <v>0</v>
      </c>
      <c r="F30" s="5">
        <f t="shared" si="0"/>
        <v>34</v>
      </c>
      <c r="G30" s="3">
        <v>46283.548611111109</v>
      </c>
    </row>
    <row r="31" spans="1:7" ht="27" customHeight="1">
      <c r="A31" s="1" t="s">
        <v>344</v>
      </c>
      <c r="B31" s="1" t="s">
        <v>195</v>
      </c>
      <c r="C31" s="3">
        <v>46283.540625000001</v>
      </c>
      <c r="D31" s="5">
        <v>31</v>
      </c>
      <c r="E31" s="5">
        <v>0</v>
      </c>
      <c r="F31" s="5">
        <f t="shared" si="0"/>
        <v>31</v>
      </c>
      <c r="G31" s="3">
        <v>46283.55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20" customWidth="1"/>
    <col min="3" max="3" width="25" customWidth="1"/>
    <col min="4" max="5" width="28" customWidth="1"/>
  </cols>
  <sheetData>
    <row r="1" spans="1:5" ht="36" customHeight="1">
      <c r="A1" s="2" t="s">
        <v>99</v>
      </c>
      <c r="B1" s="2" t="s">
        <v>345</v>
      </c>
      <c r="C1" s="2" t="s">
        <v>346</v>
      </c>
      <c r="D1" s="2" t="s">
        <v>347</v>
      </c>
      <c r="E1" s="2" t="s">
        <v>104</v>
      </c>
    </row>
    <row r="2" spans="1:5" ht="27" customHeight="1">
      <c r="A2" s="1" t="s">
        <v>107</v>
      </c>
      <c r="B2" s="1">
        <v>1</v>
      </c>
      <c r="C2" s="3">
        <v>46282.916666666664</v>
      </c>
      <c r="D2" s="1" t="s">
        <v>348</v>
      </c>
      <c r="E2" s="1" t="s">
        <v>349</v>
      </c>
    </row>
    <row r="3" spans="1:5" ht="27" customHeight="1">
      <c r="A3" s="1" t="s">
        <v>110</v>
      </c>
      <c r="B3" s="1">
        <v>1</v>
      </c>
      <c r="C3" s="3">
        <v>46282.916666666664</v>
      </c>
      <c r="D3" s="1" t="s">
        <v>348</v>
      </c>
      <c r="E3" s="1" t="s">
        <v>349</v>
      </c>
    </row>
    <row r="4" spans="1:5" ht="27" customHeight="1">
      <c r="A4" s="1" t="s">
        <v>112</v>
      </c>
      <c r="B4" s="1">
        <v>1</v>
      </c>
      <c r="C4" s="3">
        <v>46282.916666666664</v>
      </c>
      <c r="D4" s="1" t="s">
        <v>348</v>
      </c>
      <c r="E4" s="1" t="s">
        <v>349</v>
      </c>
    </row>
    <row r="5" spans="1:5" ht="27" customHeight="1">
      <c r="A5" s="1" t="s">
        <v>114</v>
      </c>
      <c r="B5" s="1">
        <v>1</v>
      </c>
      <c r="C5" s="3">
        <v>46282.916666666664</v>
      </c>
      <c r="D5" s="1" t="s">
        <v>348</v>
      </c>
      <c r="E5" s="1" t="s">
        <v>349</v>
      </c>
    </row>
    <row r="6" spans="1:5" ht="27" customHeight="1">
      <c r="A6" s="1" t="s">
        <v>116</v>
      </c>
      <c r="B6" s="1">
        <v>1</v>
      </c>
      <c r="C6" s="3">
        <v>46282.916666666664</v>
      </c>
      <c r="D6" s="1" t="s">
        <v>348</v>
      </c>
      <c r="E6" s="1" t="s">
        <v>349</v>
      </c>
    </row>
    <row r="7" spans="1:5" ht="27" customHeight="1">
      <c r="A7" s="1" t="s">
        <v>118</v>
      </c>
      <c r="B7" s="1">
        <v>1</v>
      </c>
      <c r="C7" s="3">
        <v>46282.916666666664</v>
      </c>
      <c r="D7" s="1" t="s">
        <v>348</v>
      </c>
      <c r="E7" s="1" t="s">
        <v>349</v>
      </c>
    </row>
    <row r="8" spans="1:5" ht="27" customHeight="1">
      <c r="A8" s="1" t="s">
        <v>120</v>
      </c>
      <c r="B8" s="1">
        <v>1</v>
      </c>
      <c r="C8" s="3">
        <v>46282.916666666664</v>
      </c>
      <c r="D8" s="1" t="s">
        <v>348</v>
      </c>
      <c r="E8" s="1" t="s">
        <v>349</v>
      </c>
    </row>
    <row r="9" spans="1:5" ht="27" customHeight="1">
      <c r="A9" s="1" t="s">
        <v>122</v>
      </c>
      <c r="B9" s="1">
        <v>1</v>
      </c>
      <c r="C9" s="3">
        <v>46282.916666666664</v>
      </c>
      <c r="D9" s="1" t="s">
        <v>348</v>
      </c>
      <c r="E9" s="1" t="s">
        <v>349</v>
      </c>
    </row>
    <row r="10" spans="1:5" ht="27" customHeight="1">
      <c r="A10" s="1" t="s">
        <v>124</v>
      </c>
      <c r="B10" s="1">
        <v>1</v>
      </c>
      <c r="C10" s="3">
        <v>46282.916666666664</v>
      </c>
      <c r="D10" s="1" t="s">
        <v>348</v>
      </c>
      <c r="E10" s="1" t="s">
        <v>349</v>
      </c>
    </row>
    <row r="11" spans="1:5" ht="27" customHeight="1">
      <c r="A11" s="1" t="s">
        <v>126</v>
      </c>
      <c r="B11" s="1">
        <v>1</v>
      </c>
      <c r="C11" s="3">
        <v>46282.916666666664</v>
      </c>
      <c r="D11" s="1" t="s">
        <v>348</v>
      </c>
      <c r="E11" s="1" t="s">
        <v>349</v>
      </c>
    </row>
    <row r="12" spans="1:5" ht="27" customHeight="1">
      <c r="A12" s="1" t="s">
        <v>128</v>
      </c>
      <c r="B12" s="1">
        <v>1</v>
      </c>
      <c r="C12" s="3">
        <v>46282.916666666664</v>
      </c>
      <c r="D12" s="1" t="s">
        <v>348</v>
      </c>
      <c r="E12" s="1" t="s">
        <v>349</v>
      </c>
    </row>
    <row r="13" spans="1:5" ht="27" customHeight="1">
      <c r="A13" s="1" t="s">
        <v>130</v>
      </c>
      <c r="B13" s="1">
        <v>1</v>
      </c>
      <c r="C13" s="3">
        <v>46282.916666666664</v>
      </c>
      <c r="D13" s="1" t="s">
        <v>348</v>
      </c>
      <c r="E13" s="1" t="s">
        <v>349</v>
      </c>
    </row>
    <row r="14" spans="1:5" ht="27" customHeight="1">
      <c r="A14" s="1" t="s">
        <v>132</v>
      </c>
      <c r="B14" s="1">
        <v>1</v>
      </c>
      <c r="C14" s="3">
        <v>46282.916666666664</v>
      </c>
      <c r="D14" s="1" t="s">
        <v>348</v>
      </c>
      <c r="E14" s="1" t="s">
        <v>349</v>
      </c>
    </row>
    <row r="15" spans="1:5" ht="27" customHeight="1">
      <c r="A15" s="1" t="s">
        <v>134</v>
      </c>
      <c r="B15" s="1">
        <v>1</v>
      </c>
      <c r="C15" s="3">
        <v>46282.916666666664</v>
      </c>
      <c r="D15" s="1" t="s">
        <v>348</v>
      </c>
      <c r="E15" s="1" t="s">
        <v>349</v>
      </c>
    </row>
    <row r="16" spans="1:5" ht="27" customHeight="1">
      <c r="A16" s="1" t="s">
        <v>136</v>
      </c>
      <c r="B16" s="1">
        <v>1</v>
      </c>
      <c r="C16" s="3">
        <v>46282.916666666664</v>
      </c>
      <c r="D16" s="1" t="s">
        <v>348</v>
      </c>
      <c r="E16" s="1" t="s">
        <v>349</v>
      </c>
    </row>
    <row r="17" spans="1:5" ht="27" customHeight="1">
      <c r="A17" s="1" t="s">
        <v>138</v>
      </c>
      <c r="B17" s="1">
        <v>1</v>
      </c>
      <c r="C17" s="3">
        <v>46282.916666666664</v>
      </c>
      <c r="D17" s="1" t="s">
        <v>348</v>
      </c>
      <c r="E17" s="1" t="s">
        <v>349</v>
      </c>
    </row>
    <row r="18" spans="1:5" ht="27" customHeight="1">
      <c r="A18" s="1" t="s">
        <v>140</v>
      </c>
      <c r="B18" s="1">
        <v>1</v>
      </c>
      <c r="C18" s="3">
        <v>46282.916666666664</v>
      </c>
      <c r="D18" s="1" t="s">
        <v>348</v>
      </c>
      <c r="E18" s="1" t="s">
        <v>349</v>
      </c>
    </row>
    <row r="19" spans="1:5" ht="27" customHeight="1">
      <c r="A19" s="1" t="s">
        <v>142</v>
      </c>
      <c r="B19" s="1">
        <v>1</v>
      </c>
      <c r="C19" s="3">
        <v>46282.916666666664</v>
      </c>
      <c r="D19" s="1" t="s">
        <v>348</v>
      </c>
      <c r="E19" s="1" t="s">
        <v>349</v>
      </c>
    </row>
    <row r="20" spans="1:5" ht="27" customHeight="1">
      <c r="A20" s="1" t="s">
        <v>144</v>
      </c>
      <c r="B20" s="1">
        <v>1</v>
      </c>
      <c r="C20" s="3">
        <v>46282.916666666664</v>
      </c>
      <c r="D20" s="1" t="s">
        <v>348</v>
      </c>
      <c r="E20" s="1" t="s">
        <v>349</v>
      </c>
    </row>
    <row r="21" spans="1:5" ht="27" customHeight="1">
      <c r="A21" s="1" t="s">
        <v>146</v>
      </c>
      <c r="B21" s="1">
        <v>1</v>
      </c>
      <c r="C21" s="3">
        <v>46282.916666666664</v>
      </c>
      <c r="D21" s="1" t="s">
        <v>348</v>
      </c>
      <c r="E21" s="1" t="s">
        <v>349</v>
      </c>
    </row>
    <row r="22" spans="1:5" ht="27" customHeight="1">
      <c r="A22" s="1" t="s">
        <v>148</v>
      </c>
      <c r="B22" s="1">
        <v>1</v>
      </c>
      <c r="C22" s="3">
        <v>46282.916666666664</v>
      </c>
      <c r="D22" s="1" t="s">
        <v>348</v>
      </c>
      <c r="E22" s="1" t="s">
        <v>349</v>
      </c>
    </row>
    <row r="23" spans="1:5" ht="27" customHeight="1">
      <c r="A23" s="1" t="s">
        <v>150</v>
      </c>
      <c r="B23" s="1">
        <v>1</v>
      </c>
      <c r="C23" s="3">
        <v>46282.916666666664</v>
      </c>
      <c r="D23" s="1" t="s">
        <v>348</v>
      </c>
      <c r="E23" s="1" t="s">
        <v>349</v>
      </c>
    </row>
    <row r="24" spans="1:5" ht="27" customHeight="1">
      <c r="A24" s="1" t="s">
        <v>152</v>
      </c>
      <c r="B24" s="1">
        <v>1</v>
      </c>
      <c r="C24" s="3">
        <v>46282.916666666664</v>
      </c>
      <c r="D24" s="1" t="s">
        <v>348</v>
      </c>
      <c r="E24" s="1" t="s">
        <v>349</v>
      </c>
    </row>
    <row r="25" spans="1:5" ht="27" customHeight="1">
      <c r="A25" s="1" t="s">
        <v>154</v>
      </c>
      <c r="B25" s="1">
        <v>1</v>
      </c>
      <c r="C25" s="3">
        <v>46282.916666666664</v>
      </c>
      <c r="D25" s="1" t="s">
        <v>348</v>
      </c>
      <c r="E25" s="1" t="s">
        <v>349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20" customWidth="1"/>
    <col min="3" max="4" width="25" customWidth="1"/>
    <col min="5" max="10" width="20" customWidth="1"/>
  </cols>
  <sheetData>
    <row r="1" spans="1:10" ht="36" customHeight="1">
      <c r="A1" s="2" t="s">
        <v>156</v>
      </c>
      <c r="B1" s="2" t="s">
        <v>240</v>
      </c>
      <c r="C1" s="2" t="s">
        <v>159</v>
      </c>
      <c r="D1" s="2" t="s">
        <v>244</v>
      </c>
      <c r="E1" s="2" t="s">
        <v>350</v>
      </c>
      <c r="F1" s="2" t="s">
        <v>246</v>
      </c>
      <c r="G1" s="2" t="s">
        <v>351</v>
      </c>
      <c r="H1" s="2" t="s">
        <v>247</v>
      </c>
      <c r="I1" s="2" t="s">
        <v>312</v>
      </c>
      <c r="J1" s="2" t="s">
        <v>352</v>
      </c>
    </row>
    <row r="2" spans="1:10" ht="27" customHeight="1">
      <c r="A2" s="1" t="str">
        <f>Orders!A2</f>
        <v>O001</v>
      </c>
      <c r="B2" s="1" t="str">
        <f>INDEX(KitchenRuns!$C$2:$C$31,MATCH(A2,KitchenRuns!$B$2:$B$31,0))</f>
        <v>Rejected</v>
      </c>
      <c r="C2" s="3">
        <f>INDEX(Orders!$E$2:$E$31,MATCH(A2,Orders!$A$2:$A$31,0))</f>
        <v>46283.510416666664</v>
      </c>
      <c r="D2" s="3">
        <f>INDEX(KitchenRuns!$G$2:$G$31,MATCH(A2,KitchenRuns!$B$2:$B$31,0))</f>
        <v>46283.518750000003</v>
      </c>
      <c r="E2" s="1">
        <f t="shared" ref="E2:E31" si="0">MAX(0,ROUND((D2-C2)*1440,0))</f>
        <v>12</v>
      </c>
      <c r="F2" s="1">
        <f>INDEX(KitchenRuns!$I$2:$I$31,MATCH(A2,KitchenRuns!$B$2:$B$31,0))</f>
        <v>8</v>
      </c>
      <c r="G2" s="5">
        <f>F2*Guide!$B$4</f>
        <v>3.2</v>
      </c>
      <c r="H2" s="5">
        <f>INDEX(KitchenRuns!$J$2:$J$31,MATCH(A2,KitchenRuns!$B$2:$B$31,0))</f>
        <v>4</v>
      </c>
      <c r="I2" s="5">
        <f>INDEX(Payments!$E$2:$E$31,MATCH(A2,Payments!$B$2:$B$31,0))</f>
        <v>3</v>
      </c>
      <c r="J2" s="5">
        <f t="shared" ref="J2:J31" si="1">G2+H2+I2</f>
        <v>10.199999999999999</v>
      </c>
    </row>
    <row r="3" spans="1:10" ht="27" customHeight="1">
      <c r="A3" s="1" t="str">
        <f>Orders!A3</f>
        <v>O002</v>
      </c>
      <c r="B3" s="1" t="str">
        <f>INDEX(KitchenRuns!$C$2:$C$31,MATCH(A3,KitchenRuns!$B$2:$B$31,0))</f>
        <v>Rejected</v>
      </c>
      <c r="C3" s="3">
        <f>INDEX(Orders!$E$2:$E$31,MATCH(A3,Orders!$A$2:$A$31,0))</f>
        <v>46283.511805555558</v>
      </c>
      <c r="D3" s="3">
        <f>INDEX(KitchenRuns!$G$2:$G$31,MATCH(A3,KitchenRuns!$B$2:$B$31,0))</f>
        <v>46283.522222222222</v>
      </c>
      <c r="E3" s="1">
        <f t="shared" si="0"/>
        <v>15</v>
      </c>
      <c r="F3" s="1">
        <f>INDEX(KitchenRuns!$I$2:$I$31,MATCH(A3,KitchenRuns!$B$2:$B$31,0))</f>
        <v>10</v>
      </c>
      <c r="G3" s="5">
        <f>F3*Guide!$B$4</f>
        <v>4</v>
      </c>
      <c r="H3" s="5">
        <f>INDEX(KitchenRuns!$J$2:$J$31,MATCH(A3,KitchenRuns!$B$2:$B$31,0))</f>
        <v>5</v>
      </c>
      <c r="I3" s="5">
        <f>INDEX(Payments!$E$2:$E$31,MATCH(A3,Payments!$B$2:$B$31,0))</f>
        <v>3</v>
      </c>
      <c r="J3" s="5">
        <f t="shared" si="1"/>
        <v>12</v>
      </c>
    </row>
    <row r="4" spans="1:10" ht="27" customHeight="1">
      <c r="A4" s="1" t="str">
        <f>Orders!A4</f>
        <v>O003</v>
      </c>
      <c r="B4" s="1" t="str">
        <f>INDEX(KitchenRuns!$C$2:$C$31,MATCH(A4,KitchenRuns!$B$2:$B$31,0))</f>
        <v>Rejected</v>
      </c>
      <c r="C4" s="3">
        <f>INDEX(Orders!$E$2:$E$31,MATCH(A4,Orders!$A$2:$A$31,0))</f>
        <v>46283.513194444444</v>
      </c>
      <c r="D4" s="3">
        <f>INDEX(KitchenRuns!$G$2:$G$31,MATCH(A4,KitchenRuns!$B$2:$B$31,0))</f>
        <v>46283.525694444441</v>
      </c>
      <c r="E4" s="1">
        <f t="shared" si="0"/>
        <v>18</v>
      </c>
      <c r="F4" s="1">
        <f>INDEX(KitchenRuns!$I$2:$I$31,MATCH(A4,KitchenRuns!$B$2:$B$31,0))</f>
        <v>12</v>
      </c>
      <c r="G4" s="5">
        <f>F4*Guide!$B$4</f>
        <v>4.8000000000000007</v>
      </c>
      <c r="H4" s="5">
        <f>INDEX(KitchenRuns!$J$2:$J$31,MATCH(A4,KitchenRuns!$B$2:$B$31,0))</f>
        <v>4</v>
      </c>
      <c r="I4" s="5">
        <f>INDEX(Payments!$E$2:$E$31,MATCH(A4,Payments!$B$2:$B$31,0))</f>
        <v>4</v>
      </c>
      <c r="J4" s="5">
        <f t="shared" si="1"/>
        <v>12.8</v>
      </c>
    </row>
    <row r="5" spans="1:10" ht="27" customHeight="1">
      <c r="A5" s="1" t="str">
        <f>Orders!A5</f>
        <v>O004</v>
      </c>
      <c r="B5" s="1" t="str">
        <f>INDEX(KitchenRuns!$C$2:$C$31,MATCH(A5,KitchenRuns!$B$2:$B$31,0))</f>
        <v>Rejected</v>
      </c>
      <c r="C5" s="3">
        <f>INDEX(Orders!$E$2:$E$31,MATCH(A5,Orders!$A$2:$A$31,0))</f>
        <v>46283.51458333333</v>
      </c>
      <c r="D5" s="3">
        <f>INDEX(KitchenRuns!$G$2:$G$31,MATCH(A5,KitchenRuns!$B$2:$B$31,0))</f>
        <v>46283.52847222222</v>
      </c>
      <c r="E5" s="1">
        <f t="shared" si="0"/>
        <v>20</v>
      </c>
      <c r="F5" s="1">
        <f>INDEX(KitchenRuns!$I$2:$I$31,MATCH(A5,KitchenRuns!$B$2:$B$31,0))</f>
        <v>9</v>
      </c>
      <c r="G5" s="5">
        <f>F5*Guide!$B$4</f>
        <v>3.6</v>
      </c>
      <c r="H5" s="5">
        <f>INDEX(KitchenRuns!$J$2:$J$31,MATCH(A5,KitchenRuns!$B$2:$B$31,0))</f>
        <v>6</v>
      </c>
      <c r="I5" s="5">
        <f>INDEX(Payments!$E$2:$E$31,MATCH(A5,Payments!$B$2:$B$31,0))</f>
        <v>3</v>
      </c>
      <c r="J5" s="5">
        <f t="shared" si="1"/>
        <v>12.6</v>
      </c>
    </row>
    <row r="6" spans="1:10" ht="27" customHeight="1">
      <c r="A6" s="1" t="str">
        <f>Orders!A6</f>
        <v>O005</v>
      </c>
      <c r="B6" s="1" t="str">
        <f>INDEX(KitchenRuns!$C$2:$C$31,MATCH(A6,KitchenRuns!$B$2:$B$31,0))</f>
        <v>Rejected</v>
      </c>
      <c r="C6" s="3">
        <f>INDEX(Orders!$E$2:$E$31,MATCH(A6,Orders!$A$2:$A$31,0))</f>
        <v>46283.515972222223</v>
      </c>
      <c r="D6" s="3">
        <f>INDEX(KitchenRuns!$G$2:$G$31,MATCH(A6,KitchenRuns!$B$2:$B$31,0))</f>
        <v>46283.53125</v>
      </c>
      <c r="E6" s="1">
        <f t="shared" si="0"/>
        <v>22</v>
      </c>
      <c r="F6" s="1">
        <f>INDEX(KitchenRuns!$I$2:$I$31,MATCH(A6,KitchenRuns!$B$2:$B$31,0))</f>
        <v>11</v>
      </c>
      <c r="G6" s="5">
        <f>F6*Guide!$B$4</f>
        <v>4.4000000000000004</v>
      </c>
      <c r="H6" s="5">
        <f>INDEX(KitchenRuns!$J$2:$J$31,MATCH(A6,KitchenRuns!$B$2:$B$31,0))</f>
        <v>4</v>
      </c>
      <c r="I6" s="5">
        <f>INDEX(Payments!$E$2:$E$31,MATCH(A6,Payments!$B$2:$B$31,0))</f>
        <v>4</v>
      </c>
      <c r="J6" s="5">
        <f t="shared" si="1"/>
        <v>12.4</v>
      </c>
    </row>
    <row r="7" spans="1:10" ht="27" customHeight="1">
      <c r="A7" s="1" t="str">
        <f>Orders!A7</f>
        <v>O006</v>
      </c>
      <c r="B7" s="1" t="str">
        <f>INDEX(KitchenRuns!$C$2:$C$31,MATCH(A7,KitchenRuns!$B$2:$B$31,0))</f>
        <v>Rejected</v>
      </c>
      <c r="C7" s="3">
        <f>INDEX(Orders!$E$2:$E$31,MATCH(A7,Orders!$A$2:$A$31,0))</f>
        <v>46283.517361111109</v>
      </c>
      <c r="D7" s="3">
        <f>INDEX(KitchenRuns!$G$2:$G$31,MATCH(A7,KitchenRuns!$B$2:$B$31,0))</f>
        <v>46283.534722222219</v>
      </c>
      <c r="E7" s="1">
        <f t="shared" si="0"/>
        <v>25</v>
      </c>
      <c r="F7" s="1">
        <f>INDEX(KitchenRuns!$I$2:$I$31,MATCH(A7,KitchenRuns!$B$2:$B$31,0))</f>
        <v>10</v>
      </c>
      <c r="G7" s="5">
        <f>F7*Guide!$B$4</f>
        <v>4</v>
      </c>
      <c r="H7" s="5">
        <f>INDEX(KitchenRuns!$J$2:$J$31,MATCH(A7,KitchenRuns!$B$2:$B$31,0))</f>
        <v>5</v>
      </c>
      <c r="I7" s="5">
        <f>INDEX(Payments!$E$2:$E$31,MATCH(A7,Payments!$B$2:$B$31,0))</f>
        <v>3</v>
      </c>
      <c r="J7" s="5">
        <f t="shared" si="1"/>
        <v>12</v>
      </c>
    </row>
    <row r="8" spans="1:10" ht="27" customHeight="1">
      <c r="A8" s="1" t="str">
        <f>Orders!A8</f>
        <v>O007</v>
      </c>
      <c r="B8" s="1" t="str">
        <f>INDEX(KitchenRuns!$C$2:$C$31,MATCH(A8,KitchenRuns!$B$2:$B$31,0))</f>
        <v>Accepted</v>
      </c>
      <c r="C8" s="3">
        <f>INDEX(Orders!$E$2:$E$31,MATCH(A8,Orders!$A$2:$A$31,0))</f>
        <v>46283.518750000003</v>
      </c>
      <c r="D8" s="3">
        <f>INDEX(KitchenRuns!$G$2:$G$31,MATCH(A8,KitchenRuns!$B$2:$B$31,0))</f>
        <v>46283.517361111109</v>
      </c>
      <c r="E8" s="1">
        <f t="shared" si="0"/>
        <v>0</v>
      </c>
      <c r="F8" s="1">
        <f>INDEX(KitchenRuns!$I$2:$I$31,MATCH(A8,KitchenRuns!$B$2:$B$31,0))</f>
        <v>0</v>
      </c>
      <c r="G8" s="5">
        <f>F8*Guide!$B$4</f>
        <v>0</v>
      </c>
      <c r="H8" s="5">
        <f>INDEX(KitchenRuns!$J$2:$J$31,MATCH(A8,KitchenRuns!$B$2:$B$31,0))</f>
        <v>0</v>
      </c>
      <c r="I8" s="5">
        <f>INDEX(Payments!$E$2:$E$31,MATCH(A8,Payments!$B$2:$B$31,0))</f>
        <v>0</v>
      </c>
      <c r="J8" s="5">
        <f t="shared" si="1"/>
        <v>0</v>
      </c>
    </row>
    <row r="9" spans="1:10" ht="27" customHeight="1">
      <c r="A9" s="1" t="str">
        <f>Orders!A9</f>
        <v>O008</v>
      </c>
      <c r="B9" s="1" t="str">
        <f>INDEX(KitchenRuns!$C$2:$C$31,MATCH(A9,KitchenRuns!$B$2:$B$31,0))</f>
        <v>Accepted</v>
      </c>
      <c r="C9" s="3">
        <f>INDEX(Orders!$E$2:$E$31,MATCH(A9,Orders!$A$2:$A$31,0))</f>
        <v>46283.520138888889</v>
      </c>
      <c r="D9" s="3">
        <f>INDEX(KitchenRuns!$G$2:$G$31,MATCH(A9,KitchenRuns!$B$2:$B$31,0))</f>
        <v>46283.518750000003</v>
      </c>
      <c r="E9" s="1">
        <f t="shared" si="0"/>
        <v>0</v>
      </c>
      <c r="F9" s="1">
        <f>INDEX(KitchenRuns!$I$2:$I$31,MATCH(A9,KitchenRuns!$B$2:$B$31,0))</f>
        <v>0</v>
      </c>
      <c r="G9" s="5">
        <f>F9*Guide!$B$4</f>
        <v>0</v>
      </c>
      <c r="H9" s="5">
        <f>INDEX(KitchenRuns!$J$2:$J$31,MATCH(A9,KitchenRuns!$B$2:$B$31,0))</f>
        <v>0</v>
      </c>
      <c r="I9" s="5">
        <f>INDEX(Payments!$E$2:$E$31,MATCH(A9,Payments!$B$2:$B$31,0))</f>
        <v>0</v>
      </c>
      <c r="J9" s="5">
        <f t="shared" si="1"/>
        <v>0</v>
      </c>
    </row>
    <row r="10" spans="1:10" ht="27" customHeight="1">
      <c r="A10" s="1" t="str">
        <f>Orders!A10</f>
        <v>O009</v>
      </c>
      <c r="B10" s="1" t="str">
        <f>INDEX(KitchenRuns!$C$2:$C$31,MATCH(A10,KitchenRuns!$B$2:$B$31,0))</f>
        <v>Accepted</v>
      </c>
      <c r="C10" s="3">
        <f>INDEX(Orders!$E$2:$E$31,MATCH(A10,Orders!$A$2:$A$31,0))</f>
        <v>46283.521527777775</v>
      </c>
      <c r="D10" s="3">
        <f>INDEX(KitchenRuns!$G$2:$G$31,MATCH(A10,KitchenRuns!$B$2:$B$31,0))</f>
        <v>46283.520138888889</v>
      </c>
      <c r="E10" s="1">
        <f t="shared" si="0"/>
        <v>0</v>
      </c>
      <c r="F10" s="1">
        <f>INDEX(KitchenRuns!$I$2:$I$31,MATCH(A10,KitchenRuns!$B$2:$B$31,0))</f>
        <v>0</v>
      </c>
      <c r="G10" s="5">
        <f>F10*Guide!$B$4</f>
        <v>0</v>
      </c>
      <c r="H10" s="5">
        <f>INDEX(KitchenRuns!$J$2:$J$31,MATCH(A10,KitchenRuns!$B$2:$B$31,0))</f>
        <v>0</v>
      </c>
      <c r="I10" s="5">
        <f>INDEX(Payments!$E$2:$E$31,MATCH(A10,Payments!$B$2:$B$31,0))</f>
        <v>0</v>
      </c>
      <c r="J10" s="5">
        <f t="shared" si="1"/>
        <v>0</v>
      </c>
    </row>
    <row r="11" spans="1:10" ht="27" customHeight="1">
      <c r="A11" s="1" t="str">
        <f>Orders!A11</f>
        <v>O010</v>
      </c>
      <c r="B11" s="1" t="str">
        <f>INDEX(KitchenRuns!$C$2:$C$31,MATCH(A11,KitchenRuns!$B$2:$B$31,0))</f>
        <v>Accepted</v>
      </c>
      <c r="C11" s="3">
        <f>INDEX(Orders!$E$2:$E$31,MATCH(A11,Orders!$A$2:$A$31,0))</f>
        <v>46283.522916666669</v>
      </c>
      <c r="D11" s="3">
        <f>INDEX(KitchenRuns!$G$2:$G$31,MATCH(A11,KitchenRuns!$B$2:$B$31,0))</f>
        <v>46283.521527777775</v>
      </c>
      <c r="E11" s="1">
        <f t="shared" si="0"/>
        <v>0</v>
      </c>
      <c r="F11" s="1">
        <f>INDEX(KitchenRuns!$I$2:$I$31,MATCH(A11,KitchenRuns!$B$2:$B$31,0))</f>
        <v>0</v>
      </c>
      <c r="G11" s="5">
        <f>F11*Guide!$B$4</f>
        <v>0</v>
      </c>
      <c r="H11" s="5">
        <f>INDEX(KitchenRuns!$J$2:$J$31,MATCH(A11,KitchenRuns!$B$2:$B$31,0))</f>
        <v>0</v>
      </c>
      <c r="I11" s="5">
        <f>INDEX(Payments!$E$2:$E$31,MATCH(A11,Payments!$B$2:$B$31,0))</f>
        <v>0</v>
      </c>
      <c r="J11" s="5">
        <f t="shared" si="1"/>
        <v>0</v>
      </c>
    </row>
    <row r="12" spans="1:10" ht="27" customHeight="1">
      <c r="A12" s="1" t="str">
        <f>Orders!A12</f>
        <v>O011</v>
      </c>
      <c r="B12" s="1" t="str">
        <f>INDEX(KitchenRuns!$C$2:$C$31,MATCH(A12,KitchenRuns!$B$2:$B$31,0))</f>
        <v>Accepted</v>
      </c>
      <c r="C12" s="3">
        <f>INDEX(Orders!$E$2:$E$31,MATCH(A12,Orders!$A$2:$A$31,0))</f>
        <v>46283.524305555555</v>
      </c>
      <c r="D12" s="3">
        <f>INDEX(KitchenRuns!$G$2:$G$31,MATCH(A12,KitchenRuns!$B$2:$B$31,0))</f>
        <v>46283.522916666669</v>
      </c>
      <c r="E12" s="1">
        <f t="shared" si="0"/>
        <v>0</v>
      </c>
      <c r="F12" s="1">
        <f>INDEX(KitchenRuns!$I$2:$I$31,MATCH(A12,KitchenRuns!$B$2:$B$31,0))</f>
        <v>0</v>
      </c>
      <c r="G12" s="5">
        <f>F12*Guide!$B$4</f>
        <v>0</v>
      </c>
      <c r="H12" s="5">
        <f>INDEX(KitchenRuns!$J$2:$J$31,MATCH(A12,KitchenRuns!$B$2:$B$31,0))</f>
        <v>0</v>
      </c>
      <c r="I12" s="5">
        <f>INDEX(Payments!$E$2:$E$31,MATCH(A12,Payments!$B$2:$B$31,0))</f>
        <v>0</v>
      </c>
      <c r="J12" s="5">
        <f t="shared" si="1"/>
        <v>0</v>
      </c>
    </row>
    <row r="13" spans="1:10" ht="27" customHeight="1">
      <c r="A13" s="1" t="str">
        <f>Orders!A13</f>
        <v>O012</v>
      </c>
      <c r="B13" s="1" t="str">
        <f>INDEX(KitchenRuns!$C$2:$C$31,MATCH(A13,KitchenRuns!$B$2:$B$31,0))</f>
        <v>Accepted</v>
      </c>
      <c r="C13" s="3">
        <f>INDEX(Orders!$E$2:$E$31,MATCH(A13,Orders!$A$2:$A$31,0))</f>
        <v>46283.525694444441</v>
      </c>
      <c r="D13" s="3">
        <f>INDEX(KitchenRuns!$G$2:$G$31,MATCH(A13,KitchenRuns!$B$2:$B$31,0))</f>
        <v>46283.524305555555</v>
      </c>
      <c r="E13" s="1">
        <f t="shared" si="0"/>
        <v>0</v>
      </c>
      <c r="F13" s="1">
        <f>INDEX(KitchenRuns!$I$2:$I$31,MATCH(A13,KitchenRuns!$B$2:$B$31,0))</f>
        <v>0</v>
      </c>
      <c r="G13" s="5">
        <f>F13*Guide!$B$4</f>
        <v>0</v>
      </c>
      <c r="H13" s="5">
        <f>INDEX(KitchenRuns!$J$2:$J$31,MATCH(A13,KitchenRuns!$B$2:$B$31,0))</f>
        <v>0</v>
      </c>
      <c r="I13" s="5">
        <f>INDEX(Payments!$E$2:$E$31,MATCH(A13,Payments!$B$2:$B$31,0))</f>
        <v>0</v>
      </c>
      <c r="J13" s="5">
        <f t="shared" si="1"/>
        <v>0</v>
      </c>
    </row>
    <row r="14" spans="1:10" ht="27" customHeight="1">
      <c r="A14" s="1" t="str">
        <f>Orders!A14</f>
        <v>O013</v>
      </c>
      <c r="B14" s="1" t="str">
        <f>INDEX(KitchenRuns!$C$2:$C$31,MATCH(A14,KitchenRuns!$B$2:$B$31,0))</f>
        <v>Accepted</v>
      </c>
      <c r="C14" s="3">
        <f>INDEX(Orders!$E$2:$E$31,MATCH(A14,Orders!$A$2:$A$31,0))</f>
        <v>46283.527083333334</v>
      </c>
      <c r="D14" s="3">
        <f>INDEX(KitchenRuns!$G$2:$G$31,MATCH(A14,KitchenRuns!$B$2:$B$31,0))</f>
        <v>46283.525694444441</v>
      </c>
      <c r="E14" s="1">
        <f t="shared" si="0"/>
        <v>0</v>
      </c>
      <c r="F14" s="1">
        <f>INDEX(KitchenRuns!$I$2:$I$31,MATCH(A14,KitchenRuns!$B$2:$B$31,0))</f>
        <v>0</v>
      </c>
      <c r="G14" s="5">
        <f>F14*Guide!$B$4</f>
        <v>0</v>
      </c>
      <c r="H14" s="5">
        <f>INDEX(KitchenRuns!$J$2:$J$31,MATCH(A14,KitchenRuns!$B$2:$B$31,0))</f>
        <v>0</v>
      </c>
      <c r="I14" s="5">
        <f>INDEX(Payments!$E$2:$E$31,MATCH(A14,Payments!$B$2:$B$31,0))</f>
        <v>0</v>
      </c>
      <c r="J14" s="5">
        <f t="shared" si="1"/>
        <v>0</v>
      </c>
    </row>
    <row r="15" spans="1:10" ht="27" customHeight="1">
      <c r="A15" s="1" t="str">
        <f>Orders!A15</f>
        <v>O014</v>
      </c>
      <c r="B15" s="1" t="str">
        <f>INDEX(KitchenRuns!$C$2:$C$31,MATCH(A15,KitchenRuns!$B$2:$B$31,0))</f>
        <v>Accepted</v>
      </c>
      <c r="C15" s="3">
        <f>INDEX(Orders!$E$2:$E$31,MATCH(A15,Orders!$A$2:$A$31,0))</f>
        <v>46283.52847222222</v>
      </c>
      <c r="D15" s="3">
        <f>INDEX(KitchenRuns!$G$2:$G$31,MATCH(A15,KitchenRuns!$B$2:$B$31,0))</f>
        <v>46283.527083333334</v>
      </c>
      <c r="E15" s="1">
        <f t="shared" si="0"/>
        <v>0</v>
      </c>
      <c r="F15" s="1">
        <f>INDEX(KitchenRuns!$I$2:$I$31,MATCH(A15,KitchenRuns!$B$2:$B$31,0))</f>
        <v>0</v>
      </c>
      <c r="G15" s="5">
        <f>F15*Guide!$B$4</f>
        <v>0</v>
      </c>
      <c r="H15" s="5">
        <f>INDEX(KitchenRuns!$J$2:$J$31,MATCH(A15,KitchenRuns!$B$2:$B$31,0))</f>
        <v>0</v>
      </c>
      <c r="I15" s="5">
        <f>INDEX(Payments!$E$2:$E$31,MATCH(A15,Payments!$B$2:$B$31,0))</f>
        <v>0</v>
      </c>
      <c r="J15" s="5">
        <f t="shared" si="1"/>
        <v>0</v>
      </c>
    </row>
    <row r="16" spans="1:10" ht="27" customHeight="1">
      <c r="A16" s="1" t="str">
        <f>Orders!A16</f>
        <v>O015</v>
      </c>
      <c r="B16" s="1" t="str">
        <f>INDEX(KitchenRuns!$C$2:$C$31,MATCH(A16,KitchenRuns!$B$2:$B$31,0))</f>
        <v>Accepted</v>
      </c>
      <c r="C16" s="3">
        <f>INDEX(Orders!$E$2:$E$31,MATCH(A16,Orders!$A$2:$A$31,0))</f>
        <v>46283.529861111114</v>
      </c>
      <c r="D16" s="3">
        <f>INDEX(KitchenRuns!$G$2:$G$31,MATCH(A16,KitchenRuns!$B$2:$B$31,0))</f>
        <v>46283.52847222222</v>
      </c>
      <c r="E16" s="1">
        <f t="shared" si="0"/>
        <v>0</v>
      </c>
      <c r="F16" s="1">
        <f>INDEX(KitchenRuns!$I$2:$I$31,MATCH(A16,KitchenRuns!$B$2:$B$31,0))</f>
        <v>0</v>
      </c>
      <c r="G16" s="5">
        <f>F16*Guide!$B$4</f>
        <v>0</v>
      </c>
      <c r="H16" s="5">
        <f>INDEX(KitchenRuns!$J$2:$J$31,MATCH(A16,KitchenRuns!$B$2:$B$31,0))</f>
        <v>0</v>
      </c>
      <c r="I16" s="5">
        <f>INDEX(Payments!$E$2:$E$31,MATCH(A16,Payments!$B$2:$B$31,0))</f>
        <v>0</v>
      </c>
      <c r="J16" s="5">
        <f t="shared" si="1"/>
        <v>0</v>
      </c>
    </row>
    <row r="17" spans="1:10" ht="27" customHeight="1">
      <c r="A17" s="1" t="str">
        <f>Orders!A17</f>
        <v>O016</v>
      </c>
      <c r="B17" s="1" t="str">
        <f>INDEX(KitchenRuns!$C$2:$C$31,MATCH(A17,KitchenRuns!$B$2:$B$31,0))</f>
        <v>Accepted</v>
      </c>
      <c r="C17" s="3">
        <f>INDEX(Orders!$E$2:$E$31,MATCH(A17,Orders!$A$2:$A$31,0))</f>
        <v>46283.53125</v>
      </c>
      <c r="D17" s="3">
        <f>INDEX(KitchenRuns!$G$2:$G$31,MATCH(A17,KitchenRuns!$B$2:$B$31,0))</f>
        <v>46283.529861111114</v>
      </c>
      <c r="E17" s="1">
        <f t="shared" si="0"/>
        <v>0</v>
      </c>
      <c r="F17" s="1">
        <f>INDEX(KitchenRuns!$I$2:$I$31,MATCH(A17,KitchenRuns!$B$2:$B$31,0))</f>
        <v>0</v>
      </c>
      <c r="G17" s="5">
        <f>F17*Guide!$B$4</f>
        <v>0</v>
      </c>
      <c r="H17" s="5">
        <f>INDEX(KitchenRuns!$J$2:$J$31,MATCH(A17,KitchenRuns!$B$2:$B$31,0))</f>
        <v>0</v>
      </c>
      <c r="I17" s="5">
        <f>INDEX(Payments!$E$2:$E$31,MATCH(A17,Payments!$B$2:$B$31,0))</f>
        <v>0</v>
      </c>
      <c r="J17" s="5">
        <f t="shared" si="1"/>
        <v>0</v>
      </c>
    </row>
    <row r="18" spans="1:10" ht="27" customHeight="1">
      <c r="A18" s="1" t="str">
        <f>Orders!A18</f>
        <v>O017</v>
      </c>
      <c r="B18" s="1" t="str">
        <f>INDEX(KitchenRuns!$C$2:$C$31,MATCH(A18,KitchenRuns!$B$2:$B$31,0))</f>
        <v>Accepted</v>
      </c>
      <c r="C18" s="3">
        <f>INDEX(Orders!$E$2:$E$31,MATCH(A18,Orders!$A$2:$A$31,0))</f>
        <v>46283.532638888886</v>
      </c>
      <c r="D18" s="3">
        <f>INDEX(KitchenRuns!$G$2:$G$31,MATCH(A18,KitchenRuns!$B$2:$B$31,0))</f>
        <v>46283.53125</v>
      </c>
      <c r="E18" s="1">
        <f t="shared" si="0"/>
        <v>0</v>
      </c>
      <c r="F18" s="1">
        <f>INDEX(KitchenRuns!$I$2:$I$31,MATCH(A18,KitchenRuns!$B$2:$B$31,0))</f>
        <v>0</v>
      </c>
      <c r="G18" s="5">
        <f>F18*Guide!$B$4</f>
        <v>0</v>
      </c>
      <c r="H18" s="5">
        <f>INDEX(KitchenRuns!$J$2:$J$31,MATCH(A18,KitchenRuns!$B$2:$B$31,0))</f>
        <v>0</v>
      </c>
      <c r="I18" s="5">
        <f>INDEX(Payments!$E$2:$E$31,MATCH(A18,Payments!$B$2:$B$31,0))</f>
        <v>0</v>
      </c>
      <c r="J18" s="5">
        <f t="shared" si="1"/>
        <v>0</v>
      </c>
    </row>
    <row r="19" spans="1:10" ht="27" customHeight="1">
      <c r="A19" s="1" t="str">
        <f>Orders!A19</f>
        <v>O018</v>
      </c>
      <c r="B19" s="1" t="str">
        <f>INDEX(KitchenRuns!$C$2:$C$31,MATCH(A19,KitchenRuns!$B$2:$B$31,0))</f>
        <v>Accepted</v>
      </c>
      <c r="C19" s="3">
        <f>INDEX(Orders!$E$2:$E$31,MATCH(A19,Orders!$A$2:$A$31,0))</f>
        <v>46283.53402777778</v>
      </c>
      <c r="D19" s="3">
        <f>INDEX(KitchenRuns!$G$2:$G$31,MATCH(A19,KitchenRuns!$B$2:$B$31,0))</f>
        <v>46283.532638888886</v>
      </c>
      <c r="E19" s="1">
        <f t="shared" si="0"/>
        <v>0</v>
      </c>
      <c r="F19" s="1">
        <f>INDEX(KitchenRuns!$I$2:$I$31,MATCH(A19,KitchenRuns!$B$2:$B$31,0))</f>
        <v>0</v>
      </c>
      <c r="G19" s="5">
        <f>F19*Guide!$B$4</f>
        <v>0</v>
      </c>
      <c r="H19" s="5">
        <f>INDEX(KitchenRuns!$J$2:$J$31,MATCH(A19,KitchenRuns!$B$2:$B$31,0))</f>
        <v>0</v>
      </c>
      <c r="I19" s="5">
        <f>INDEX(Payments!$E$2:$E$31,MATCH(A19,Payments!$B$2:$B$31,0))</f>
        <v>0</v>
      </c>
      <c r="J19" s="5">
        <f t="shared" si="1"/>
        <v>0</v>
      </c>
    </row>
    <row r="20" spans="1:10" ht="27" customHeight="1">
      <c r="A20" s="1" t="str">
        <f>Orders!A20</f>
        <v>O019</v>
      </c>
      <c r="B20" s="1" t="str">
        <f>INDEX(KitchenRuns!$C$2:$C$31,MATCH(A20,KitchenRuns!$B$2:$B$31,0))</f>
        <v>Accepted</v>
      </c>
      <c r="C20" s="3">
        <f>INDEX(Orders!$E$2:$E$31,MATCH(A20,Orders!$A$2:$A$31,0))</f>
        <v>46283.535416666666</v>
      </c>
      <c r="D20" s="3">
        <f>INDEX(KitchenRuns!$G$2:$G$31,MATCH(A20,KitchenRuns!$B$2:$B$31,0))</f>
        <v>46283.53402777778</v>
      </c>
      <c r="E20" s="1">
        <f t="shared" si="0"/>
        <v>0</v>
      </c>
      <c r="F20" s="1">
        <f>INDEX(KitchenRuns!$I$2:$I$31,MATCH(A20,KitchenRuns!$B$2:$B$31,0))</f>
        <v>0</v>
      </c>
      <c r="G20" s="5">
        <f>F20*Guide!$B$4</f>
        <v>0</v>
      </c>
      <c r="H20" s="5">
        <f>INDEX(KitchenRuns!$J$2:$J$31,MATCH(A20,KitchenRuns!$B$2:$B$31,0))</f>
        <v>0</v>
      </c>
      <c r="I20" s="5">
        <f>INDEX(Payments!$E$2:$E$31,MATCH(A20,Payments!$B$2:$B$31,0))</f>
        <v>0</v>
      </c>
      <c r="J20" s="5">
        <f t="shared" si="1"/>
        <v>0</v>
      </c>
    </row>
    <row r="21" spans="1:10" ht="27" customHeight="1">
      <c r="A21" s="1" t="str">
        <f>Orders!A21</f>
        <v>O020</v>
      </c>
      <c r="B21" s="1" t="str">
        <f>INDEX(KitchenRuns!$C$2:$C$31,MATCH(A21,KitchenRuns!$B$2:$B$31,0))</f>
        <v>Accepted</v>
      </c>
      <c r="C21" s="3">
        <f>INDEX(Orders!$E$2:$E$31,MATCH(A21,Orders!$A$2:$A$31,0))</f>
        <v>46283.536805555559</v>
      </c>
      <c r="D21" s="3">
        <f>INDEX(KitchenRuns!$G$2:$G$31,MATCH(A21,KitchenRuns!$B$2:$B$31,0))</f>
        <v>46283.535416666666</v>
      </c>
      <c r="E21" s="1">
        <f t="shared" si="0"/>
        <v>0</v>
      </c>
      <c r="F21" s="1">
        <f>INDEX(KitchenRuns!$I$2:$I$31,MATCH(A21,KitchenRuns!$B$2:$B$31,0))</f>
        <v>0</v>
      </c>
      <c r="G21" s="5">
        <f>F21*Guide!$B$4</f>
        <v>0</v>
      </c>
      <c r="H21" s="5">
        <f>INDEX(KitchenRuns!$J$2:$J$31,MATCH(A21,KitchenRuns!$B$2:$B$31,0))</f>
        <v>0</v>
      </c>
      <c r="I21" s="5">
        <f>INDEX(Payments!$E$2:$E$31,MATCH(A21,Payments!$B$2:$B$31,0))</f>
        <v>0</v>
      </c>
      <c r="J21" s="5">
        <f t="shared" si="1"/>
        <v>0</v>
      </c>
    </row>
    <row r="22" spans="1:10" ht="27" customHeight="1">
      <c r="A22" s="1" t="str">
        <f>Orders!A22</f>
        <v>O021</v>
      </c>
      <c r="B22" s="1" t="str">
        <f>INDEX(KitchenRuns!$C$2:$C$31,MATCH(A22,KitchenRuns!$B$2:$B$31,0))</f>
        <v>Accepted</v>
      </c>
      <c r="C22" s="3">
        <f>INDEX(Orders!$E$2:$E$31,MATCH(A22,Orders!$A$2:$A$31,0))</f>
        <v>46283.538194444445</v>
      </c>
      <c r="D22" s="3">
        <f>INDEX(KitchenRuns!$G$2:$G$31,MATCH(A22,KitchenRuns!$B$2:$B$31,0))</f>
        <v>46283.536805555559</v>
      </c>
      <c r="E22" s="1">
        <f t="shared" si="0"/>
        <v>0</v>
      </c>
      <c r="F22" s="1">
        <f>INDEX(KitchenRuns!$I$2:$I$31,MATCH(A22,KitchenRuns!$B$2:$B$31,0))</f>
        <v>0</v>
      </c>
      <c r="G22" s="5">
        <f>F22*Guide!$B$4</f>
        <v>0</v>
      </c>
      <c r="H22" s="5">
        <f>INDEX(KitchenRuns!$J$2:$J$31,MATCH(A22,KitchenRuns!$B$2:$B$31,0))</f>
        <v>0</v>
      </c>
      <c r="I22" s="5">
        <f>INDEX(Payments!$E$2:$E$31,MATCH(A22,Payments!$B$2:$B$31,0))</f>
        <v>0</v>
      </c>
      <c r="J22" s="5">
        <f t="shared" si="1"/>
        <v>0</v>
      </c>
    </row>
    <row r="23" spans="1:10" ht="27" customHeight="1">
      <c r="A23" s="1" t="str">
        <f>Orders!A23</f>
        <v>O022</v>
      </c>
      <c r="B23" s="1" t="str">
        <f>INDEX(KitchenRuns!$C$2:$C$31,MATCH(A23,KitchenRuns!$B$2:$B$31,0))</f>
        <v>Accepted</v>
      </c>
      <c r="C23" s="3">
        <f>INDEX(Orders!$E$2:$E$31,MATCH(A23,Orders!$A$2:$A$31,0))</f>
        <v>46283.539583333331</v>
      </c>
      <c r="D23" s="3">
        <f>INDEX(KitchenRuns!$G$2:$G$31,MATCH(A23,KitchenRuns!$B$2:$B$31,0))</f>
        <v>46283.538194444445</v>
      </c>
      <c r="E23" s="1">
        <f t="shared" si="0"/>
        <v>0</v>
      </c>
      <c r="F23" s="1">
        <f>INDEX(KitchenRuns!$I$2:$I$31,MATCH(A23,KitchenRuns!$B$2:$B$31,0))</f>
        <v>0</v>
      </c>
      <c r="G23" s="5">
        <f>F23*Guide!$B$4</f>
        <v>0</v>
      </c>
      <c r="H23" s="5">
        <f>INDEX(KitchenRuns!$J$2:$J$31,MATCH(A23,KitchenRuns!$B$2:$B$31,0))</f>
        <v>0</v>
      </c>
      <c r="I23" s="5">
        <f>INDEX(Payments!$E$2:$E$31,MATCH(A23,Payments!$B$2:$B$31,0))</f>
        <v>0</v>
      </c>
      <c r="J23" s="5">
        <f t="shared" si="1"/>
        <v>0</v>
      </c>
    </row>
    <row r="24" spans="1:10" ht="27" customHeight="1">
      <c r="A24" s="1" t="str">
        <f>Orders!A24</f>
        <v>O023</v>
      </c>
      <c r="B24" s="1" t="str">
        <f>INDEX(KitchenRuns!$C$2:$C$31,MATCH(A24,KitchenRuns!$B$2:$B$31,0))</f>
        <v>Accepted</v>
      </c>
      <c r="C24" s="3">
        <f>INDEX(Orders!$E$2:$E$31,MATCH(A24,Orders!$A$2:$A$31,0))</f>
        <v>46283.540972222225</v>
      </c>
      <c r="D24" s="3">
        <f>INDEX(KitchenRuns!$G$2:$G$31,MATCH(A24,KitchenRuns!$B$2:$B$31,0))</f>
        <v>46283.539583333331</v>
      </c>
      <c r="E24" s="1">
        <f t="shared" si="0"/>
        <v>0</v>
      </c>
      <c r="F24" s="1">
        <f>INDEX(KitchenRuns!$I$2:$I$31,MATCH(A24,KitchenRuns!$B$2:$B$31,0))</f>
        <v>0</v>
      </c>
      <c r="G24" s="5">
        <f>F24*Guide!$B$4</f>
        <v>0</v>
      </c>
      <c r="H24" s="5">
        <f>INDEX(KitchenRuns!$J$2:$J$31,MATCH(A24,KitchenRuns!$B$2:$B$31,0))</f>
        <v>0</v>
      </c>
      <c r="I24" s="5">
        <f>INDEX(Payments!$E$2:$E$31,MATCH(A24,Payments!$B$2:$B$31,0))</f>
        <v>0</v>
      </c>
      <c r="J24" s="5">
        <f t="shared" si="1"/>
        <v>0</v>
      </c>
    </row>
    <row r="25" spans="1:10" ht="27" customHeight="1">
      <c r="A25" s="1" t="str">
        <f>Orders!A25</f>
        <v>O024</v>
      </c>
      <c r="B25" s="1" t="str">
        <f>INDEX(KitchenRuns!$C$2:$C$31,MATCH(A25,KitchenRuns!$B$2:$B$31,0))</f>
        <v>Accepted</v>
      </c>
      <c r="C25" s="3">
        <f>INDEX(Orders!$E$2:$E$31,MATCH(A25,Orders!$A$2:$A$31,0))</f>
        <v>46283.542361111111</v>
      </c>
      <c r="D25" s="3">
        <f>INDEX(KitchenRuns!$G$2:$G$31,MATCH(A25,KitchenRuns!$B$2:$B$31,0))</f>
        <v>46283.540972222225</v>
      </c>
      <c r="E25" s="1">
        <f t="shared" si="0"/>
        <v>0</v>
      </c>
      <c r="F25" s="1">
        <f>INDEX(KitchenRuns!$I$2:$I$31,MATCH(A25,KitchenRuns!$B$2:$B$31,0))</f>
        <v>0</v>
      </c>
      <c r="G25" s="5">
        <f>F25*Guide!$B$4</f>
        <v>0</v>
      </c>
      <c r="H25" s="5">
        <f>INDEX(KitchenRuns!$J$2:$J$31,MATCH(A25,KitchenRuns!$B$2:$B$31,0))</f>
        <v>0</v>
      </c>
      <c r="I25" s="5">
        <f>INDEX(Payments!$E$2:$E$31,MATCH(A25,Payments!$B$2:$B$31,0))</f>
        <v>0</v>
      </c>
      <c r="J25" s="5">
        <f t="shared" si="1"/>
        <v>0</v>
      </c>
    </row>
    <row r="26" spans="1:10" ht="27" customHeight="1">
      <c r="A26" s="1" t="str">
        <f>Orders!A26</f>
        <v>O025</v>
      </c>
      <c r="B26" s="1" t="str">
        <f>INDEX(KitchenRuns!$C$2:$C$31,MATCH(A26,KitchenRuns!$B$2:$B$31,0))</f>
        <v>Accepted</v>
      </c>
      <c r="C26" s="3">
        <f>INDEX(Orders!$E$2:$E$31,MATCH(A26,Orders!$A$2:$A$31,0))</f>
        <v>46283.543749999997</v>
      </c>
      <c r="D26" s="3">
        <f>INDEX(KitchenRuns!$G$2:$G$31,MATCH(A26,KitchenRuns!$B$2:$B$31,0))</f>
        <v>46283.542361111111</v>
      </c>
      <c r="E26" s="1">
        <f t="shared" si="0"/>
        <v>0</v>
      </c>
      <c r="F26" s="1">
        <f>INDEX(KitchenRuns!$I$2:$I$31,MATCH(A26,KitchenRuns!$B$2:$B$31,0))</f>
        <v>0</v>
      </c>
      <c r="G26" s="5">
        <f>F26*Guide!$B$4</f>
        <v>0</v>
      </c>
      <c r="H26" s="5">
        <f>INDEX(KitchenRuns!$J$2:$J$31,MATCH(A26,KitchenRuns!$B$2:$B$31,0))</f>
        <v>0</v>
      </c>
      <c r="I26" s="5">
        <f>INDEX(Payments!$E$2:$E$31,MATCH(A26,Payments!$B$2:$B$31,0))</f>
        <v>0</v>
      </c>
      <c r="J26" s="5">
        <f t="shared" si="1"/>
        <v>0</v>
      </c>
    </row>
    <row r="27" spans="1:10" ht="27" customHeight="1">
      <c r="A27" s="1" t="str">
        <f>Orders!A27</f>
        <v>O026</v>
      </c>
      <c r="B27" s="1" t="str">
        <f>INDEX(KitchenRuns!$C$2:$C$31,MATCH(A27,KitchenRuns!$B$2:$B$31,0))</f>
        <v>Accepted</v>
      </c>
      <c r="C27" s="3">
        <f>INDEX(Orders!$E$2:$E$31,MATCH(A27,Orders!$A$2:$A$31,0))</f>
        <v>46283.545138888891</v>
      </c>
      <c r="D27" s="3">
        <f>INDEX(KitchenRuns!$G$2:$G$31,MATCH(A27,KitchenRuns!$B$2:$B$31,0))</f>
        <v>46283.543749999997</v>
      </c>
      <c r="E27" s="1">
        <f t="shared" si="0"/>
        <v>0</v>
      </c>
      <c r="F27" s="1">
        <f>INDEX(KitchenRuns!$I$2:$I$31,MATCH(A27,KitchenRuns!$B$2:$B$31,0))</f>
        <v>0</v>
      </c>
      <c r="G27" s="5">
        <f>F27*Guide!$B$4</f>
        <v>0</v>
      </c>
      <c r="H27" s="5">
        <f>INDEX(KitchenRuns!$J$2:$J$31,MATCH(A27,KitchenRuns!$B$2:$B$31,0))</f>
        <v>0</v>
      </c>
      <c r="I27" s="5">
        <f>INDEX(Payments!$E$2:$E$31,MATCH(A27,Payments!$B$2:$B$31,0))</f>
        <v>0</v>
      </c>
      <c r="J27" s="5">
        <f t="shared" si="1"/>
        <v>0</v>
      </c>
    </row>
    <row r="28" spans="1:10" ht="27" customHeight="1">
      <c r="A28" s="1" t="str">
        <f>Orders!A28</f>
        <v>O027</v>
      </c>
      <c r="B28" s="1" t="str">
        <f>INDEX(KitchenRuns!$C$2:$C$31,MATCH(A28,KitchenRuns!$B$2:$B$31,0))</f>
        <v>Accepted</v>
      </c>
      <c r="C28" s="3">
        <f>INDEX(Orders!$E$2:$E$31,MATCH(A28,Orders!$A$2:$A$31,0))</f>
        <v>46283.546527777777</v>
      </c>
      <c r="D28" s="3">
        <f>INDEX(KitchenRuns!$G$2:$G$31,MATCH(A28,KitchenRuns!$B$2:$B$31,0))</f>
        <v>46283.545138888891</v>
      </c>
      <c r="E28" s="1">
        <f t="shared" si="0"/>
        <v>0</v>
      </c>
      <c r="F28" s="1">
        <f>INDEX(KitchenRuns!$I$2:$I$31,MATCH(A28,KitchenRuns!$B$2:$B$31,0))</f>
        <v>0</v>
      </c>
      <c r="G28" s="5">
        <f>F28*Guide!$B$4</f>
        <v>0</v>
      </c>
      <c r="H28" s="5">
        <f>INDEX(KitchenRuns!$J$2:$J$31,MATCH(A28,KitchenRuns!$B$2:$B$31,0))</f>
        <v>0</v>
      </c>
      <c r="I28" s="5">
        <f>INDEX(Payments!$E$2:$E$31,MATCH(A28,Payments!$B$2:$B$31,0))</f>
        <v>0</v>
      </c>
      <c r="J28" s="5">
        <f t="shared" si="1"/>
        <v>0</v>
      </c>
    </row>
    <row r="29" spans="1:10" ht="27" customHeight="1">
      <c r="A29" s="1" t="str">
        <f>Orders!A29</f>
        <v>O028</v>
      </c>
      <c r="B29" s="1" t="str">
        <f>INDEX(KitchenRuns!$C$2:$C$31,MATCH(A29,KitchenRuns!$B$2:$B$31,0))</f>
        <v>Accepted</v>
      </c>
      <c r="C29" s="3">
        <f>INDEX(Orders!$E$2:$E$31,MATCH(A29,Orders!$A$2:$A$31,0))</f>
        <v>46283.54791666667</v>
      </c>
      <c r="D29" s="3">
        <f>INDEX(KitchenRuns!$G$2:$G$31,MATCH(A29,KitchenRuns!$B$2:$B$31,0))</f>
        <v>46283.546527777777</v>
      </c>
      <c r="E29" s="1">
        <f t="shared" si="0"/>
        <v>0</v>
      </c>
      <c r="F29" s="1">
        <f>INDEX(KitchenRuns!$I$2:$I$31,MATCH(A29,KitchenRuns!$B$2:$B$31,0))</f>
        <v>0</v>
      </c>
      <c r="G29" s="5">
        <f>F29*Guide!$B$4</f>
        <v>0</v>
      </c>
      <c r="H29" s="5">
        <f>INDEX(KitchenRuns!$J$2:$J$31,MATCH(A29,KitchenRuns!$B$2:$B$31,0))</f>
        <v>0</v>
      </c>
      <c r="I29" s="5">
        <f>INDEX(Payments!$E$2:$E$31,MATCH(A29,Payments!$B$2:$B$31,0))</f>
        <v>0</v>
      </c>
      <c r="J29" s="5">
        <f t="shared" si="1"/>
        <v>0</v>
      </c>
    </row>
    <row r="30" spans="1:10" ht="27" customHeight="1">
      <c r="A30" s="1" t="str">
        <f>Orders!A30</f>
        <v>O029</v>
      </c>
      <c r="B30" s="1" t="str">
        <f>INDEX(KitchenRuns!$C$2:$C$31,MATCH(A30,KitchenRuns!$B$2:$B$31,0))</f>
        <v>Accepted</v>
      </c>
      <c r="C30" s="3">
        <f>INDEX(Orders!$E$2:$E$31,MATCH(A30,Orders!$A$2:$A$31,0))</f>
        <v>46283.549305555556</v>
      </c>
      <c r="D30" s="3">
        <f>INDEX(KitchenRuns!$G$2:$G$31,MATCH(A30,KitchenRuns!$B$2:$B$31,0))</f>
        <v>46283.54791666667</v>
      </c>
      <c r="E30" s="1">
        <f t="shared" si="0"/>
        <v>0</v>
      </c>
      <c r="F30" s="1">
        <f>INDEX(KitchenRuns!$I$2:$I$31,MATCH(A30,KitchenRuns!$B$2:$B$31,0))</f>
        <v>0</v>
      </c>
      <c r="G30" s="5">
        <f>F30*Guide!$B$4</f>
        <v>0</v>
      </c>
      <c r="H30" s="5">
        <f>INDEX(KitchenRuns!$J$2:$J$31,MATCH(A30,KitchenRuns!$B$2:$B$31,0))</f>
        <v>0</v>
      </c>
      <c r="I30" s="5">
        <f>INDEX(Payments!$E$2:$E$31,MATCH(A30,Payments!$B$2:$B$31,0))</f>
        <v>0</v>
      </c>
      <c r="J30" s="5">
        <f t="shared" si="1"/>
        <v>0</v>
      </c>
    </row>
    <row r="31" spans="1:10" ht="27" customHeight="1">
      <c r="A31" s="1" t="str">
        <f>Orders!A31</f>
        <v>O030</v>
      </c>
      <c r="B31" s="1" t="str">
        <f>INDEX(KitchenRuns!$C$2:$C$31,MATCH(A31,KitchenRuns!$B$2:$B$31,0))</f>
        <v>Accepted</v>
      </c>
      <c r="C31" s="3">
        <f>INDEX(Orders!$E$2:$E$31,MATCH(A31,Orders!$A$2:$A$31,0))</f>
        <v>46283.550694444442</v>
      </c>
      <c r="D31" s="3">
        <f>INDEX(KitchenRuns!$G$2:$G$31,MATCH(A31,KitchenRuns!$B$2:$B$31,0))</f>
        <v>46283.549305555556</v>
      </c>
      <c r="E31" s="1">
        <f t="shared" si="0"/>
        <v>0</v>
      </c>
      <c r="F31" s="1">
        <f>INDEX(KitchenRuns!$I$2:$I$31,MATCH(A31,KitchenRuns!$B$2:$B$31,0))</f>
        <v>0</v>
      </c>
      <c r="G31" s="5">
        <f>F31*Guide!$B$4</f>
        <v>0</v>
      </c>
      <c r="H31" s="5">
        <f>INDEX(KitchenRuns!$J$2:$J$31,MATCH(A31,KitchenRuns!$B$2:$B$31,0))</f>
        <v>0</v>
      </c>
      <c r="I31" s="5">
        <f>INDEX(Payments!$E$2:$E$31,MATCH(A31,Payments!$B$2:$B$31,0))</f>
        <v>0</v>
      </c>
      <c r="J31" s="5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9" customWidth="1"/>
    <col min="2" max="2" width="115" customWidth="1"/>
  </cols>
  <sheetData>
    <row r="1" spans="1:2" ht="36" customHeight="1">
      <c r="A1" s="2" t="s">
        <v>353</v>
      </c>
      <c r="B1" s="2" t="s">
        <v>354</v>
      </c>
    </row>
    <row r="2" spans="1:2" ht="50" customHeight="1">
      <c r="A2" s="4" t="s">
        <v>355</v>
      </c>
      <c r="B2" s="4" t="s">
        <v>356</v>
      </c>
    </row>
    <row r="3" spans="1:2" ht="50" customHeight="1">
      <c r="A3" s="4" t="s">
        <v>357</v>
      </c>
      <c r="B3" s="4" t="s">
        <v>358</v>
      </c>
    </row>
    <row r="4" spans="1:2" ht="50" customHeight="1">
      <c r="A4" s="4" t="s">
        <v>359</v>
      </c>
      <c r="B4" s="7">
        <v>0.4</v>
      </c>
    </row>
    <row r="5" spans="1:2" ht="50" customHeight="1">
      <c r="A5" s="4" t="s">
        <v>360</v>
      </c>
      <c r="B5" s="4" t="s">
        <v>361</v>
      </c>
    </row>
    <row r="6" spans="1:2" ht="50" customHeight="1">
      <c r="A6" s="4" t="s">
        <v>362</v>
      </c>
      <c r="B6" s="4" t="s">
        <v>363</v>
      </c>
    </row>
    <row r="7" spans="1:2" ht="50" customHeight="1">
      <c r="A7" s="4" t="s">
        <v>364</v>
      </c>
      <c r="B7" s="4" t="s">
        <v>365</v>
      </c>
    </row>
    <row r="8" spans="1:2" ht="50" customHeight="1">
      <c r="A8" s="4" t="s">
        <v>366</v>
      </c>
      <c r="B8" s="4" t="s">
        <v>367</v>
      </c>
    </row>
    <row r="9" spans="1:2" ht="50" customHeight="1">
      <c r="A9" s="4" t="s">
        <v>368</v>
      </c>
      <c r="B9" s="4" t="s">
        <v>369</v>
      </c>
    </row>
    <row r="10" spans="1:2" ht="50" customHeight="1">
      <c r="A10" s="4" t="s">
        <v>370</v>
      </c>
      <c r="B10" s="4" t="s">
        <v>371</v>
      </c>
    </row>
    <row r="11" spans="1:2" ht="50" customHeight="1">
      <c r="A11" s="4" t="s">
        <v>372</v>
      </c>
      <c r="B11" s="4" t="s">
        <v>373</v>
      </c>
    </row>
    <row r="12" spans="1:2" ht="50" customHeight="1">
      <c r="A12" s="4" t="s">
        <v>374</v>
      </c>
      <c r="B12" s="4" t="s">
        <v>375</v>
      </c>
    </row>
    <row r="13" spans="1:2" ht="50" customHeight="1">
      <c r="A13" s="4" t="s">
        <v>376</v>
      </c>
      <c r="B13" s="4" t="s">
        <v>377</v>
      </c>
    </row>
    <row r="14" spans="1:2" ht="50" customHeight="1">
      <c r="A14" s="4" t="s">
        <v>378</v>
      </c>
      <c r="B14" s="4" t="s">
        <v>379</v>
      </c>
    </row>
    <row r="15" spans="1:2" ht="50" customHeight="1">
      <c r="A15" s="4" t="s">
        <v>380</v>
      </c>
      <c r="B15" s="4" t="s">
        <v>381</v>
      </c>
    </row>
    <row r="16" spans="1:2" ht="50" customHeight="1">
      <c r="A16" s="4" t="s">
        <v>382</v>
      </c>
      <c r="B16" s="4" t="s">
        <v>383</v>
      </c>
    </row>
    <row r="17" spans="1:2" ht="50" customHeight="1">
      <c r="A17" s="4" t="s">
        <v>384</v>
      </c>
      <c r="B17" s="4" t="s">
        <v>385</v>
      </c>
    </row>
    <row r="18" spans="1:2" ht="50" customHeight="1">
      <c r="A18" s="4" t="s">
        <v>386</v>
      </c>
      <c r="B18" s="4" t="s">
        <v>387</v>
      </c>
    </row>
    <row r="19" spans="1:2" ht="50" customHeight="1">
      <c r="A19" s="4" t="s">
        <v>388</v>
      </c>
      <c r="B19" s="4" t="s">
        <v>389</v>
      </c>
    </row>
    <row r="20" spans="1:2" ht="50" customHeight="1">
      <c r="A20" s="4" t="s">
        <v>390</v>
      </c>
      <c r="B20" s="4" t="s">
        <v>391</v>
      </c>
    </row>
    <row r="21" spans="1:2" ht="50" customHeight="1">
      <c r="A21" s="4" t="s">
        <v>392</v>
      </c>
      <c r="B21" s="4" t="s">
        <v>393</v>
      </c>
    </row>
    <row r="22" spans="1:2" ht="50" customHeight="1">
      <c r="A22" s="4" t="s">
        <v>394</v>
      </c>
      <c r="B22" s="4" t="s">
        <v>395</v>
      </c>
    </row>
    <row r="23" spans="1:2" ht="50" customHeight="1">
      <c r="A23" s="4" t="s">
        <v>396</v>
      </c>
      <c r="B23" s="4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Customers</vt:lpstr>
      <vt:lpstr>MenuItems</vt:lpstr>
      <vt:lpstr>Orders</vt:lpstr>
      <vt:lpstr>OrderLines</vt:lpstr>
      <vt:lpstr>KitchenRuns</vt:lpstr>
      <vt:lpstr>Payments</vt:lpstr>
      <vt:lpstr>LegacyAvailability</vt:lpstr>
      <vt:lpstr>Calculations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Sarieddine</cp:lastModifiedBy>
  <dcterms:created xsi:type="dcterms:W3CDTF">2026-09-18T13:36:11Z</dcterms:created>
  <dcterms:modified xsi:type="dcterms:W3CDTF">2026-09-18T13:36:11Z</dcterms:modified>
</cp:coreProperties>
</file>